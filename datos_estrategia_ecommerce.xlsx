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Sebastian\Downloads\"/>
    </mc:Choice>
  </mc:AlternateContent>
  <xr:revisionPtr revIDLastSave="0" documentId="13_ncr:1_{4E998164-E5D0-4D3E-BCEC-1262F91EA412}" xr6:coauthVersionLast="47" xr6:coauthVersionMax="47" xr10:uidLastSave="{00000000-0000-0000-0000-000000000000}"/>
  <bookViews>
    <workbookView xWindow="-120" yWindow="-120" windowWidth="20730" windowHeight="11040" activeTab="4" xr2:uid="{C2EE2DCB-2F10-4A66-B42D-4210CA7BC331}"/>
  </bookViews>
  <sheets>
    <sheet name="Datos" sheetId="1" r:id="rId1"/>
    <sheet name="puente" sheetId="2" r:id="rId2"/>
    <sheet name="Adquisicion" sheetId="3" r:id="rId3"/>
    <sheet name="Escenarios" sheetId="4" r:id="rId4"/>
    <sheet name="Resumen" sheetId="5" r:id="rId5"/>
  </sheets>
  <definedNames>
    <definedName name="_xlchart.v1.0" hidden="1">puente!$A$31:$A$35</definedName>
    <definedName name="_xlchart.v1.1" hidden="1">puente!$B$31:$B$35</definedName>
    <definedName name="_xlchart.v1.2" hidden="1">puente!$D$40:$D$41</definedName>
    <definedName name="_xlchart.v1.3" hidden="1">puente!$D$40:$D$44</definedName>
    <definedName name="_xlchart.v1.4" hidden="1">puente!$D$42</definedName>
    <definedName name="_xlchart.v1.5" hidden="1">puente!$E$40:$E$44</definedName>
    <definedName name="_xlchart.v1.6" hidden="1">puente!$D$40:$D$44</definedName>
    <definedName name="_xlchart.v1.7" hidden="1">puente!$E$40:$E$44</definedName>
  </definedNames>
  <calcPr calcId="181029"/>
</workbook>
</file>

<file path=xl/calcChain.xml><?xml version="1.0" encoding="utf-8"?>
<calcChain xmlns="http://schemas.openxmlformats.org/spreadsheetml/2006/main">
  <c r="K10" i="4" l="1"/>
  <c r="J13" i="4"/>
  <c r="J12" i="4"/>
  <c r="J11" i="4"/>
  <c r="J10" i="4"/>
  <c r="J9" i="4"/>
  <c r="K9" i="4" s="1"/>
  <c r="L10" i="4"/>
  <c r="K11" i="4"/>
  <c r="L11" i="4"/>
  <c r="K12" i="4"/>
  <c r="L12" i="4"/>
  <c r="K13" i="4"/>
  <c r="L13" i="4"/>
  <c r="L9" i="4"/>
  <c r="B14" i="5"/>
  <c r="B13" i="5"/>
  <c r="B12" i="5"/>
  <c r="B11" i="5"/>
  <c r="B10" i="5"/>
  <c r="B9" i="5"/>
  <c r="B7" i="5"/>
  <c r="B6" i="5"/>
  <c r="C19" i="4"/>
  <c r="C18" i="4"/>
  <c r="C17" i="4"/>
  <c r="B19" i="4"/>
  <c r="B18" i="4"/>
  <c r="B17" i="4"/>
  <c r="I13" i="4"/>
  <c r="I12" i="4"/>
  <c r="I11" i="4"/>
  <c r="I10" i="4"/>
  <c r="I9" i="4"/>
  <c r="H10" i="4"/>
  <c r="H11" i="4"/>
  <c r="H12" i="4"/>
  <c r="H13" i="4"/>
  <c r="H9" i="4"/>
  <c r="G10" i="4"/>
  <c r="G11" i="4"/>
  <c r="G12" i="4"/>
  <c r="G13" i="4"/>
  <c r="G9" i="4"/>
  <c r="F13" i="4"/>
  <c r="F12" i="4"/>
  <c r="F11" i="4"/>
  <c r="F10" i="4"/>
  <c r="F9" i="4"/>
  <c r="E13" i="4"/>
  <c r="D13" i="4"/>
  <c r="E12" i="4"/>
  <c r="D12" i="4"/>
  <c r="E11" i="4"/>
  <c r="D11" i="4"/>
  <c r="E10" i="4"/>
  <c r="D10" i="4"/>
  <c r="E9" i="4"/>
  <c r="D9" i="4"/>
  <c r="C13" i="4"/>
  <c r="C12" i="4"/>
  <c r="C11" i="4"/>
  <c r="C10" i="4"/>
  <c r="C9" i="4"/>
  <c r="B10" i="4"/>
  <c r="B11" i="4"/>
  <c r="B12" i="4"/>
  <c r="B13" i="4"/>
  <c r="B9" i="4"/>
  <c r="A10" i="4"/>
  <c r="A11" i="4"/>
  <c r="A12" i="4"/>
  <c r="A13" i="4"/>
  <c r="A9" i="4"/>
  <c r="D4" i="4"/>
  <c r="C4" i="4"/>
  <c r="C2" i="4"/>
  <c r="B4" i="4"/>
  <c r="E10" i="3"/>
  <c r="E11" i="3"/>
  <c r="E12" i="3"/>
  <c r="E9" i="3"/>
  <c r="E8" i="3"/>
  <c r="B13" i="3"/>
  <c r="B5" i="3"/>
  <c r="C9" i="3" s="1"/>
  <c r="B2" i="3"/>
  <c r="B4" i="3" s="1"/>
  <c r="E10" i="2"/>
  <c r="E16" i="2"/>
  <c r="E27" i="2"/>
  <c r="E7" i="2"/>
  <c r="E6" i="2"/>
  <c r="E13" i="2"/>
  <c r="E3" i="2"/>
  <c r="E26" i="2"/>
  <c r="E25" i="2"/>
  <c r="E17" i="2"/>
  <c r="E2" i="2"/>
  <c r="E12" i="2"/>
  <c r="E19" i="2"/>
  <c r="E20" i="2"/>
  <c r="E11" i="2"/>
  <c r="E21" i="2"/>
  <c r="E9" i="2"/>
  <c r="E22" i="2"/>
  <c r="E24" i="2"/>
  <c r="E23" i="2"/>
  <c r="E5" i="2"/>
  <c r="E4" i="2"/>
  <c r="E8" i="2"/>
  <c r="E15" i="2"/>
  <c r="E18" i="2"/>
  <c r="E14" i="2"/>
  <c r="D10" i="2"/>
  <c r="D16" i="2"/>
  <c r="D27" i="2"/>
  <c r="D7" i="2"/>
  <c r="D6" i="2"/>
  <c r="D13" i="2"/>
  <c r="D3" i="2"/>
  <c r="D26" i="2"/>
  <c r="D25" i="2"/>
  <c r="D17" i="2"/>
  <c r="D2" i="2"/>
  <c r="D12" i="2"/>
  <c r="D19" i="2"/>
  <c r="D20" i="2"/>
  <c r="D11" i="2"/>
  <c r="D21" i="2"/>
  <c r="D9" i="2"/>
  <c r="D22" i="2"/>
  <c r="D24" i="2"/>
  <c r="D23" i="2"/>
  <c r="D5" i="2"/>
  <c r="D4" i="2"/>
  <c r="D8" i="2"/>
  <c r="D15" i="2"/>
  <c r="D18" i="2"/>
  <c r="D14" i="2"/>
  <c r="C10" i="2"/>
  <c r="C16" i="2"/>
  <c r="C27" i="2"/>
  <c r="C7" i="2"/>
  <c r="C6" i="2"/>
  <c r="C13" i="2"/>
  <c r="C3" i="2"/>
  <c r="C26" i="2"/>
  <c r="C25" i="2"/>
  <c r="C17" i="2"/>
  <c r="C2" i="2"/>
  <c r="C12" i="2"/>
  <c r="C19" i="2"/>
  <c r="C20" i="2"/>
  <c r="C11" i="2"/>
  <c r="C21" i="2"/>
  <c r="C9" i="2"/>
  <c r="C22" i="2"/>
  <c r="C24" i="2"/>
  <c r="C23" i="2"/>
  <c r="C5" i="2"/>
  <c r="C4" i="2"/>
  <c r="C8" i="2"/>
  <c r="C15" i="2"/>
  <c r="C18" i="2"/>
  <c r="C14" i="2"/>
  <c r="B10" i="2"/>
  <c r="B16" i="2"/>
  <c r="B27" i="2"/>
  <c r="B7" i="2"/>
  <c r="B6" i="2"/>
  <c r="B13" i="2"/>
  <c r="B3" i="2"/>
  <c r="B26" i="2"/>
  <c r="B25" i="2"/>
  <c r="B17" i="2"/>
  <c r="B2" i="2"/>
  <c r="B12" i="2"/>
  <c r="B19" i="2"/>
  <c r="B20" i="2"/>
  <c r="B11" i="2"/>
  <c r="B21" i="2"/>
  <c r="B9" i="2"/>
  <c r="B22" i="2"/>
  <c r="B24" i="2"/>
  <c r="B23" i="2"/>
  <c r="B5" i="2"/>
  <c r="B4" i="2"/>
  <c r="B8" i="2"/>
  <c r="B15" i="2"/>
  <c r="B18" i="2"/>
  <c r="B14" i="2"/>
  <c r="B8" i="5" l="1"/>
  <c r="I9" i="3"/>
  <c r="H10" i="3"/>
  <c r="C8" i="3"/>
  <c r="C12" i="3"/>
  <c r="C11" i="3"/>
  <c r="C10" i="3"/>
  <c r="H11" i="3"/>
  <c r="H12" i="3"/>
  <c r="I8" i="3"/>
  <c r="I12" i="3"/>
  <c r="I11" i="3"/>
  <c r="H8" i="3"/>
  <c r="I10" i="3"/>
  <c r="H9" i="3"/>
  <c r="L5" i="2"/>
  <c r="L19" i="2"/>
  <c r="L6" i="2"/>
  <c r="G7" i="2"/>
  <c r="F14" i="2"/>
  <c r="K14" i="2" s="1"/>
  <c r="F17" i="2"/>
  <c r="G23" i="2"/>
  <c r="F18" i="2"/>
  <c r="F9" i="2"/>
  <c r="F25" i="2"/>
  <c r="F10" i="2"/>
  <c r="G24" i="2"/>
  <c r="G2" i="2"/>
  <c r="G27" i="2"/>
  <c r="F22" i="2"/>
  <c r="F16" i="2"/>
  <c r="G12" i="2"/>
  <c r="C28" i="2"/>
  <c r="I17" i="2" s="1"/>
  <c r="L23" i="2"/>
  <c r="L12" i="2"/>
  <c r="L7" i="2"/>
  <c r="F15" i="2"/>
  <c r="F21" i="2"/>
  <c r="F26" i="2"/>
  <c r="G14" i="2"/>
  <c r="G22" i="2"/>
  <c r="G17" i="2"/>
  <c r="G16" i="2"/>
  <c r="L24" i="2"/>
  <c r="L2" i="2"/>
  <c r="L27" i="2"/>
  <c r="F8" i="2"/>
  <c r="F11" i="2"/>
  <c r="F3" i="2"/>
  <c r="G18" i="2"/>
  <c r="K18" i="2" s="1"/>
  <c r="G9" i="2"/>
  <c r="K9" i="2" s="1"/>
  <c r="G25" i="2"/>
  <c r="K25" i="2" s="1"/>
  <c r="G10" i="2"/>
  <c r="K10" i="2" s="1"/>
  <c r="L14" i="2"/>
  <c r="L22" i="2"/>
  <c r="L17" i="2"/>
  <c r="L16" i="2"/>
  <c r="F4" i="2"/>
  <c r="K4" i="2" s="1"/>
  <c r="F20" i="2"/>
  <c r="F13" i="2"/>
  <c r="G15" i="2"/>
  <c r="K15" i="2" s="1"/>
  <c r="G21" i="2"/>
  <c r="K21" i="2" s="1"/>
  <c r="G26" i="2"/>
  <c r="L18" i="2"/>
  <c r="L9" i="2"/>
  <c r="L25" i="2"/>
  <c r="L10" i="2"/>
  <c r="F5" i="2"/>
  <c r="F19" i="2"/>
  <c r="F6" i="2"/>
  <c r="G8" i="2"/>
  <c r="G11" i="2"/>
  <c r="G3" i="2"/>
  <c r="K3" i="2" s="1"/>
  <c r="L15" i="2"/>
  <c r="L21" i="2"/>
  <c r="L26" i="2"/>
  <c r="F23" i="2"/>
  <c r="F12" i="2"/>
  <c r="F7" i="2"/>
  <c r="K7" i="2" s="1"/>
  <c r="G4" i="2"/>
  <c r="G20" i="2"/>
  <c r="G13" i="2"/>
  <c r="L8" i="2"/>
  <c r="L11" i="2"/>
  <c r="L3" i="2"/>
  <c r="F24" i="2"/>
  <c r="F2" i="2"/>
  <c r="F27" i="2"/>
  <c r="G5" i="2"/>
  <c r="K5" i="2" s="1"/>
  <c r="G19" i="2"/>
  <c r="G6" i="2"/>
  <c r="L4" i="2"/>
  <c r="L20" i="2"/>
  <c r="L13" i="2"/>
  <c r="K26" i="2"/>
  <c r="I16" i="2"/>
  <c r="K8" i="2"/>
  <c r="K11" i="2"/>
  <c r="I5" i="2"/>
  <c r="I19" i="2"/>
  <c r="I6" i="2"/>
  <c r="B28" i="2"/>
  <c r="H17" i="2" s="1"/>
  <c r="D28" i="2"/>
  <c r="I8" i="2"/>
  <c r="I24" i="2"/>
  <c r="I9" i="2"/>
  <c r="I11" i="2"/>
  <c r="I10" i="2"/>
  <c r="K22" i="2"/>
  <c r="K17" i="2"/>
  <c r="E28" i="2"/>
  <c r="C13" i="3" l="1"/>
  <c r="K13" i="2"/>
  <c r="K20" i="2"/>
  <c r="K16" i="2"/>
  <c r="I18" i="2"/>
  <c r="I20" i="2"/>
  <c r="I22" i="2"/>
  <c r="K2" i="2"/>
  <c r="K28" i="2" s="1"/>
  <c r="I7" i="2"/>
  <c r="I28" i="2" s="1"/>
  <c r="K24" i="2"/>
  <c r="I13" i="2"/>
  <c r="I12" i="2"/>
  <c r="I26" i="2"/>
  <c r="I27" i="2"/>
  <c r="J27" i="2" s="1"/>
  <c r="I21" i="2"/>
  <c r="I3" i="2"/>
  <c r="I15" i="2"/>
  <c r="I25" i="2"/>
  <c r="I14" i="2"/>
  <c r="I4" i="2"/>
  <c r="I23" i="2"/>
  <c r="I2" i="2"/>
  <c r="J2" i="2" s="1"/>
  <c r="K23" i="2"/>
  <c r="H11" i="2"/>
  <c r="J11" i="2" s="1"/>
  <c r="H6" i="2"/>
  <c r="J6" i="2" s="1"/>
  <c r="H18" i="2"/>
  <c r="J18" i="2" s="1"/>
  <c r="J3" i="2"/>
  <c r="H27" i="2"/>
  <c r="H4" i="2"/>
  <c r="J4" i="2" s="1"/>
  <c r="H2" i="2"/>
  <c r="H7" i="2"/>
  <c r="H23" i="2"/>
  <c r="J23" i="2" s="1"/>
  <c r="F28" i="2"/>
  <c r="B32" i="2" s="1"/>
  <c r="H24" i="2"/>
  <c r="J24" i="2" s="1"/>
  <c r="K6" i="2"/>
  <c r="B31" i="2"/>
  <c r="H3" i="2"/>
  <c r="H22" i="2"/>
  <c r="K19" i="2"/>
  <c r="K12" i="2"/>
  <c r="J22" i="2"/>
  <c r="J17" i="2"/>
  <c r="K27" i="2"/>
  <c r="G28" i="2"/>
  <c r="L28" i="2"/>
  <c r="M5" i="2" s="1"/>
  <c r="M2" i="2"/>
  <c r="M19" i="2"/>
  <c r="H12" i="2"/>
  <c r="J12" i="2" s="1"/>
  <c r="H13" i="2"/>
  <c r="J13" i="2" s="1"/>
  <c r="H10" i="2"/>
  <c r="J10" i="2" s="1"/>
  <c r="H19" i="2"/>
  <c r="J19" i="2" s="1"/>
  <c r="H20" i="2"/>
  <c r="J20" i="2" s="1"/>
  <c r="H5" i="2"/>
  <c r="J5" i="2" s="1"/>
  <c r="H14" i="2"/>
  <c r="H8" i="2"/>
  <c r="J8" i="2" s="1"/>
  <c r="H25" i="2"/>
  <c r="J25" i="2" s="1"/>
  <c r="H26" i="2"/>
  <c r="J26" i="2" s="1"/>
  <c r="H21" i="2"/>
  <c r="J21" i="2" s="1"/>
  <c r="H16" i="2"/>
  <c r="J16" i="2" s="1"/>
  <c r="H15" i="2"/>
  <c r="H9" i="2"/>
  <c r="J9" i="2" s="1"/>
  <c r="M15" i="2" l="1"/>
  <c r="M20" i="2"/>
  <c r="J15" i="2"/>
  <c r="J7" i="2"/>
  <c r="M3" i="2"/>
  <c r="M27" i="2"/>
  <c r="M21" i="2"/>
  <c r="M26" i="2"/>
  <c r="M12" i="2"/>
  <c r="M16" i="2"/>
  <c r="M11" i="2"/>
  <c r="M22" i="2"/>
  <c r="M17" i="2"/>
  <c r="M10" i="2"/>
  <c r="M9" i="2"/>
  <c r="M18" i="2"/>
  <c r="M4" i="2"/>
  <c r="M23" i="2"/>
  <c r="M14" i="2"/>
  <c r="M6" i="2"/>
  <c r="M25" i="2"/>
  <c r="B34" i="2"/>
  <c r="M7" i="2"/>
  <c r="M13" i="2"/>
  <c r="M8" i="2"/>
  <c r="M24" i="2"/>
  <c r="H28" i="2"/>
  <c r="J14" i="2"/>
  <c r="J28" i="2" s="1"/>
  <c r="B33" i="2" s="1"/>
  <c r="B35" i="2" s="1"/>
  <c r="B36" i="2" s="1"/>
  <c r="M28" i="2" l="1"/>
</calcChain>
</file>

<file path=xl/sharedStrings.xml><?xml version="1.0" encoding="utf-8"?>
<sst xmlns="http://schemas.openxmlformats.org/spreadsheetml/2006/main" count="188" uniqueCount="114">
  <si>
    <t>ano</t>
  </si>
  <si>
    <t>categoria</t>
  </si>
  <si>
    <t>unidades</t>
  </si>
  <si>
    <t>ingreso</t>
  </si>
  <si>
    <t>costo</t>
  </si>
  <si>
    <t>margen</t>
  </si>
  <si>
    <t>Accessories</t>
  </si>
  <si>
    <t>Active</t>
  </si>
  <si>
    <t>Blazers &amp; Jackets</t>
  </si>
  <si>
    <t>Clothing Sets</t>
  </si>
  <si>
    <t>Dresses</t>
  </si>
  <si>
    <t>Fashion Hoodies &amp; Sweatshirts</t>
  </si>
  <si>
    <t>Intimates</t>
  </si>
  <si>
    <t>Jeans</t>
  </si>
  <si>
    <t>Jumpsuits &amp; Rompers</t>
  </si>
  <si>
    <t>Leggings</t>
  </si>
  <si>
    <t>Maternity</t>
  </si>
  <si>
    <t>Outerwear &amp; Coats</t>
  </si>
  <si>
    <t>Pants</t>
  </si>
  <si>
    <t>Pants &amp; Capris</t>
  </si>
  <si>
    <t>Plus</t>
  </si>
  <si>
    <t>Shorts</t>
  </si>
  <si>
    <t>Skirts</t>
  </si>
  <si>
    <t>Sleep &amp; Lounge</t>
  </si>
  <si>
    <t>Socks</t>
  </si>
  <si>
    <t>Socks &amp; Hosiery</t>
  </si>
  <si>
    <t>Suits</t>
  </si>
  <si>
    <t>Suits &amp; Sport Coats</t>
  </si>
  <si>
    <t>Sweaters</t>
  </si>
  <si>
    <t>Swim</t>
  </si>
  <si>
    <t>Tops &amp; Tees</t>
  </si>
  <si>
    <t>Underwear</t>
  </si>
  <si>
    <t>TOTAL</t>
  </si>
  <si>
    <t>unidades 2022</t>
  </si>
  <si>
    <t>unidades 2023</t>
  </si>
  <si>
    <t>margen 2022</t>
  </si>
  <si>
    <t>margen 2023</t>
  </si>
  <si>
    <t>margen por unidad 2022</t>
  </si>
  <si>
    <t>participación en unidades 2022</t>
  </si>
  <si>
    <t>margen por unidad 2023</t>
  </si>
  <si>
    <t>participación en unidades 2023</t>
  </si>
  <si>
    <t>efecto_mezcla</t>
  </si>
  <si>
    <t>efecto_margen_unidad</t>
  </si>
  <si>
    <t>Margen 2022</t>
  </si>
  <si>
    <t>Efecto volumen</t>
  </si>
  <si>
    <t>Efecto mezcla</t>
  </si>
  <si>
    <t>Efecto margen por unidad</t>
  </si>
  <si>
    <t>Margen 2023 (calculado)</t>
  </si>
  <si>
    <t>Control (tiene que dar 0)</t>
  </si>
  <si>
    <t>var_margen</t>
  </si>
  <si>
    <t>pct_del_aumento</t>
  </si>
  <si>
    <t>Margen 2023</t>
  </si>
  <si>
    <t>Parámetro</t>
  </si>
  <si>
    <t>Valor</t>
  </si>
  <si>
    <t>Tipo</t>
  </si>
  <si>
    <t>Fuente</t>
  </si>
  <si>
    <t>LTV 12 meses por cliente</t>
  </si>
  <si>
    <t>Dato</t>
  </si>
  <si>
    <t>Canal</t>
  </si>
  <si>
    <t>CAC</t>
  </si>
  <si>
    <t>Search</t>
  </si>
  <si>
    <t>Supuesto</t>
  </si>
  <si>
    <t>Organic</t>
  </si>
  <si>
    <t>Estimación propia</t>
  </si>
  <si>
    <t>Facebook</t>
  </si>
  <si>
    <t>Email</t>
  </si>
  <si>
    <t>Display</t>
  </si>
  <si>
    <t>LTV/CAC</t>
  </si>
  <si>
    <t>Margen neto por cliente</t>
  </si>
  <si>
    <t>Margen por unidad vendida (2023)</t>
  </si>
  <si>
    <t>Unidades por cliente nuevo en 12 meses</t>
  </si>
  <si>
    <t>Calculo</t>
  </si>
  <si>
    <t>Clientes nuevos 2023 (estimado)</t>
  </si>
  <si>
    <t>% clientes nuevos</t>
  </si>
  <si>
    <t>clientes nuevos</t>
  </si>
  <si>
    <t>Inversión</t>
  </si>
  <si>
    <t>Pesimista</t>
  </si>
  <si>
    <t>Base</t>
  </si>
  <si>
    <t>Optimista</t>
  </si>
  <si>
    <t>Unidades por cliente en 12 meses</t>
  </si>
  <si>
    <t>Multiplicador del CAC</t>
  </si>
  <si>
    <t>LTV 12 meses</t>
  </si>
  <si>
    <t>Umbral LTV/CAC para invertir</t>
  </si>
  <si>
    <t>CAC base</t>
  </si>
  <si>
    <t>LTV/CAC por canal en cada escenario</t>
  </si>
  <si>
    <t>Decisión</t>
  </si>
  <si>
    <t>Escenarios que superan el umbral</t>
  </si>
  <si>
    <t>inversión</t>
  </si>
  <si>
    <t>% del presupuesto</t>
  </si>
  <si>
    <t>Resumen por decisión</t>
  </si>
  <si>
    <t>Recortar</t>
  </si>
  <si>
    <t>Probar con tope</t>
  </si>
  <si>
    <t>Escalar</t>
  </si>
  <si>
    <t>¿De dónde vino el margen de 2023 y dónde conviene invertir en 2024?</t>
  </si>
  <si>
    <t>Hallazgo (datos del dataset)</t>
  </si>
  <si>
    <t>Variación</t>
  </si>
  <si>
    <t>% del aumento por volumen</t>
  </si>
  <si>
    <t>% del aumento por mezcla de categorías</t>
  </si>
  <si>
    <t>% del aumento por margen por unidad</t>
  </si>
  <si>
    <t>Categoría que más aportó</t>
  </si>
  <si>
    <t>% del aumento de esa categoría</t>
  </si>
  <si>
    <t>% del aumento de las 5 mayores</t>
  </si>
  <si>
    <t>Pregunta: La tienda duplicó su margen entre 2022 y 2023. ¿Qué lo explica y cuánto conviene pagar por seguir adquiriendo clientes?</t>
  </si>
  <si>
    <t>CAC máximo para llegar al umbral</t>
  </si>
  <si>
    <t>reducción de CAC necesaria</t>
  </si>
  <si>
    <t>unidades por cliente necesarias</t>
  </si>
  <si>
    <t>Recomendación</t>
  </si>
  <si>
    <t>1) No reasignar presupuesto todavía: primero medir el CAC real por canal y las unidades por cliente reales, que son los dos números que cambian la conclusión.
2) Organic y Email superan LTV/CAC de 3 en los tres escenarios, pero dependen del tamaño de la audiencia: hay que cuidarlos, no se escalan con presupuesto.
3) Search y Facebook concentran el 75 % del presupuesto supuesto y no llegan al umbral en ningún escenario. Llegarían con un CAC 37 % y 46 % menor, o con 2,9 y 3,4 unidades por cliente.
4) Display: probar con un tope de inversión y decidir con los resultados reales.</t>
  </si>
  <si>
    <t>Riesgos y limitaciones</t>
  </si>
  <si>
    <t>Que Validar</t>
  </si>
  <si>
    <t>Gasto real y clientes nuevos por canal, para calcular el CAC real.</t>
  </si>
  <si>
    <t>Unidades por cliente en los primeros 12 meses, desde el historial de compras.</t>
  </si>
  <si>
    <t>Capacidad de crecimiento de Organic y Email.</t>
  </si>
  <si>
    <t>El CAC y la inversión por canal son supuestos: el dataset no trae gasto en marketing.
Las unidades por cliente (1,8) son un supuesto. Con otro valor cambia el LTV de todos los canales.
Se asume que todas las ventas de 2023 son de clientes nuevos. Eso sobreestima los clientes nuevos y por lo tanto subestima el CAC: la realidad sería peor para los canales pagos.
El umbral de 3 es una regla práctica. Un LTV/CAC mayor a 1 igual recupera el costo en 12 meses; solo Facebook en el escenario pesimista (0,96) no lo hace.
El LTV mide solo los primeros 12 meses y no incluye compras posteriores. Los datos del dataset son sintéticos.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</si>
</sst>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9" formatCode="0.0"/>
    <numFmt numFmtId="176" formatCode="_(&quot;$&quot;* #,##0_);_(&quot;$&quot;* \(#,##0\);_(&quot;$&quot;* &quot;-&quot;??_);_(@_)"/>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44" fontId="0" fillId="0" borderId="0" xfId="1" applyFont="1"/>
    <xf numFmtId="1" fontId="0" fillId="0" borderId="0" xfId="0" applyNumberFormat="1"/>
    <xf numFmtId="9" fontId="0" fillId="0" borderId="0" xfId="2" applyFont="1"/>
    <xf numFmtId="164" fontId="0" fillId="0" borderId="0" xfId="2" applyNumberFormat="1" applyFont="1"/>
    <xf numFmtId="44" fontId="0" fillId="0" borderId="0" xfId="0" applyNumberFormat="1"/>
    <xf numFmtId="0" fontId="0" fillId="0" borderId="0" xfId="0" applyAlignment="1">
      <alignment vertical="center" wrapText="1"/>
    </xf>
    <xf numFmtId="0" fontId="16" fillId="0" borderId="0" xfId="0" applyFont="1" applyAlignment="1">
      <alignment vertical="center" wrapText="1"/>
    </xf>
    <xf numFmtId="169" fontId="0" fillId="0" borderId="0" xfId="0" applyNumberFormat="1"/>
    <xf numFmtId="2" fontId="0" fillId="0" borderId="0" xfId="0" applyNumberFormat="1"/>
    <xf numFmtId="9" fontId="0" fillId="0" borderId="0" xfId="0" applyNumberFormat="1"/>
    <xf numFmtId="2" fontId="0" fillId="0" borderId="0" xfId="0" applyNumberFormat="1" applyAlignment="1">
      <alignment vertical="center" wrapText="1"/>
    </xf>
    <xf numFmtId="0" fontId="16" fillId="0" borderId="0" xfId="0" applyFont="1"/>
    <xf numFmtId="44" fontId="0" fillId="0" borderId="0" xfId="0" applyNumberFormat="1" applyAlignment="1">
      <alignment vertical="center" wrapText="1"/>
    </xf>
    <xf numFmtId="44" fontId="18" fillId="0" borderId="0" xfId="0" applyNumberFormat="1" applyFont="1" applyAlignment="1">
      <alignment vertical="center" wrapText="1"/>
    </xf>
    <xf numFmtId="0" fontId="18" fillId="0" borderId="0" xfId="0" applyFont="1" applyAlignment="1">
      <alignment vertical="center" wrapText="1"/>
    </xf>
    <xf numFmtId="9" fontId="0" fillId="0" borderId="0" xfId="2" applyFont="1" applyAlignment="1">
      <alignment vertical="center" wrapText="1"/>
    </xf>
    <xf numFmtId="164" fontId="0" fillId="0" borderId="0" xfId="2" applyNumberFormat="1" applyFont="1" applyAlignment="1">
      <alignment vertical="center" wrapText="1"/>
    </xf>
    <xf numFmtId="176" fontId="0" fillId="0" borderId="0" xfId="1" applyNumberFormat="1" applyFont="1"/>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0"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cellXfs>
  <cellStyles count="44">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oneda" xfId="1" builtinId="4"/>
    <cellStyle name="Neutral" xfId="10" builtinId="28" customBuiltin="1"/>
    <cellStyle name="Normal" xfId="0" builtinId="0"/>
    <cellStyle name="Notas" xfId="17" builtinId="10" customBuiltin="1"/>
    <cellStyle name="Porcentaje" xfId="2" builtinId="5"/>
    <cellStyle name="Salida" xfId="12" builtinId="21" customBuiltin="1"/>
    <cellStyle name="Texto de advertencia" xfId="16" builtinId="11" customBuiltin="1"/>
    <cellStyle name="Texto explicativo" xfId="18" builtinId="53" customBuiltin="1"/>
    <cellStyle name="Título" xfId="3" builtinId="15" customBuiltin="1"/>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El margen se duplico por volumen</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El margen se duplico por volumen</a:t>
          </a:r>
        </a:p>
      </cx:txPr>
    </cx:title>
    <cx:plotArea>
      <cx:plotAreaRegion>
        <cx:series layoutId="waterfall" uniqueId="{00000002-C221-4B56-9A9E-649403D09812}">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800" baseline="0"/>
            </a:pPr>
            <a:endParaRPr lang="es-ES" sz="800" b="0"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866775</xdr:colOff>
      <xdr:row>29</xdr:row>
      <xdr:rowOff>185737</xdr:rowOff>
    </xdr:from>
    <xdr:to>
      <xdr:col>8</xdr:col>
      <xdr:colOff>381000</xdr:colOff>
      <xdr:row>45</xdr:row>
      <xdr:rowOff>28575</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511BB759-7BC5-DE92-21C8-64D70F8BF0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29075" y="5710237"/>
              <a:ext cx="6686550" cy="2890838"/>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1E32-0C23-4187-AD9E-124B844F31FF}">
  <dimension ref="A1:F53"/>
  <sheetViews>
    <sheetView workbookViewId="0">
      <selection activeCell="F49" sqref="F49"/>
    </sheetView>
  </sheetViews>
  <sheetFormatPr baseColWidth="10" defaultRowHeight="15"/>
  <sheetData>
    <row r="1" spans="1:6">
      <c r="A1" t="s">
        <v>0</v>
      </c>
      <c r="B1" t="s">
        <v>1</v>
      </c>
      <c r="C1" t="s">
        <v>2</v>
      </c>
      <c r="D1" t="s">
        <v>3</v>
      </c>
      <c r="E1" t="s">
        <v>4</v>
      </c>
      <c r="F1" t="s">
        <v>5</v>
      </c>
    </row>
    <row r="2" spans="1:6">
      <c r="A2">
        <v>2022</v>
      </c>
      <c r="B2" t="s">
        <v>6</v>
      </c>
      <c r="C2">
        <v>1774</v>
      </c>
      <c r="D2">
        <v>78652.250010747404</v>
      </c>
      <c r="E2">
        <v>31478.364398578298</v>
      </c>
      <c r="F2">
        <v>47173.885612168997</v>
      </c>
    </row>
    <row r="3" spans="1:6">
      <c r="A3">
        <v>2022</v>
      </c>
      <c r="B3" t="s">
        <v>7</v>
      </c>
      <c r="C3">
        <v>1545</v>
      </c>
      <c r="D3">
        <v>81771.820068359302</v>
      </c>
      <c r="E3">
        <v>34166.044829051498</v>
      </c>
      <c r="F3">
        <v>47605.775239307703</v>
      </c>
    </row>
    <row r="4" spans="1:6">
      <c r="A4">
        <v>2022</v>
      </c>
      <c r="B4" t="s">
        <v>8</v>
      </c>
      <c r="C4">
        <v>587</v>
      </c>
      <c r="D4">
        <v>51724.110157012903</v>
      </c>
      <c r="E4">
        <v>19533.6454724865</v>
      </c>
      <c r="F4">
        <v>32190.464684526301</v>
      </c>
    </row>
    <row r="5" spans="1:6">
      <c r="A5">
        <v>2022</v>
      </c>
      <c r="B5" t="s">
        <v>9</v>
      </c>
      <c r="C5">
        <v>44</v>
      </c>
      <c r="D5">
        <v>3368.4599933624199</v>
      </c>
      <c r="E5">
        <v>2107.7538760597799</v>
      </c>
      <c r="F5">
        <v>1260.70611730263</v>
      </c>
    </row>
    <row r="6" spans="1:6">
      <c r="A6">
        <v>2022</v>
      </c>
      <c r="B6" t="s">
        <v>10</v>
      </c>
      <c r="C6">
        <v>921</v>
      </c>
      <c r="D6">
        <v>75625.900235175999</v>
      </c>
      <c r="E6">
        <v>34091.2900570192</v>
      </c>
      <c r="F6">
        <v>41534.610178156698</v>
      </c>
    </row>
    <row r="7" spans="1:6">
      <c r="A7">
        <v>2022</v>
      </c>
      <c r="B7" t="s">
        <v>11</v>
      </c>
      <c r="C7">
        <v>2062</v>
      </c>
      <c r="D7">
        <v>111266.220101356</v>
      </c>
      <c r="E7">
        <v>57733.634032646602</v>
      </c>
      <c r="F7">
        <v>53532.586068709898</v>
      </c>
    </row>
    <row r="8" spans="1:6">
      <c r="A8">
        <v>2022</v>
      </c>
      <c r="B8" t="s">
        <v>12</v>
      </c>
      <c r="C8">
        <v>2267</v>
      </c>
      <c r="D8">
        <v>77406.930073499607</v>
      </c>
      <c r="E8">
        <v>41168.762548494902</v>
      </c>
      <c r="F8">
        <v>36238.167525004697</v>
      </c>
    </row>
    <row r="9" spans="1:6">
      <c r="A9">
        <v>2022</v>
      </c>
      <c r="B9" t="s">
        <v>13</v>
      </c>
      <c r="C9">
        <v>2267</v>
      </c>
      <c r="D9">
        <v>223868.78034591599</v>
      </c>
      <c r="E9">
        <v>119959.323213378</v>
      </c>
      <c r="F9">
        <v>103909.45713253701</v>
      </c>
    </row>
    <row r="10" spans="1:6">
      <c r="A10">
        <v>2022</v>
      </c>
      <c r="B10" t="s">
        <v>14</v>
      </c>
      <c r="C10">
        <v>154</v>
      </c>
      <c r="D10">
        <v>7025.4100170135498</v>
      </c>
      <c r="E10">
        <v>3746.0303761648602</v>
      </c>
      <c r="F10">
        <v>3279.3796408486801</v>
      </c>
    </row>
    <row r="11" spans="1:6">
      <c r="A11">
        <v>2022</v>
      </c>
      <c r="B11" t="s">
        <v>15</v>
      </c>
      <c r="C11">
        <v>576</v>
      </c>
      <c r="D11">
        <v>15777.8699789047</v>
      </c>
      <c r="E11">
        <v>9487.3675111369303</v>
      </c>
      <c r="F11">
        <v>6290.5024677677902</v>
      </c>
    </row>
    <row r="12" spans="1:6">
      <c r="A12">
        <v>2022</v>
      </c>
      <c r="B12" t="s">
        <v>16</v>
      </c>
      <c r="C12">
        <v>884</v>
      </c>
      <c r="D12">
        <v>45691.4898953437</v>
      </c>
      <c r="E12">
        <v>20214.0701900272</v>
      </c>
      <c r="F12">
        <v>25477.419705316399</v>
      </c>
    </row>
    <row r="13" spans="1:6">
      <c r="A13">
        <v>2022</v>
      </c>
      <c r="B13" t="s">
        <v>17</v>
      </c>
      <c r="C13">
        <v>1482</v>
      </c>
      <c r="D13">
        <v>208583.389846801</v>
      </c>
      <c r="E13">
        <v>93020.291334772206</v>
      </c>
      <c r="F13">
        <v>115563.098512029</v>
      </c>
    </row>
    <row r="14" spans="1:6">
      <c r="A14">
        <v>2022</v>
      </c>
      <c r="B14" t="s">
        <v>18</v>
      </c>
      <c r="C14">
        <v>1311</v>
      </c>
      <c r="D14">
        <v>75610.960330009402</v>
      </c>
      <c r="E14">
        <v>34674.3309609598</v>
      </c>
      <c r="F14">
        <v>40936.629369049602</v>
      </c>
    </row>
    <row r="15" spans="1:6">
      <c r="A15">
        <v>2022</v>
      </c>
      <c r="B15" t="s">
        <v>19</v>
      </c>
      <c r="C15">
        <v>570</v>
      </c>
      <c r="D15">
        <v>29448.420157432502</v>
      </c>
      <c r="E15">
        <v>15521.05253121</v>
      </c>
      <c r="F15">
        <v>13927.3676262224</v>
      </c>
    </row>
    <row r="16" spans="1:6">
      <c r="A16">
        <v>2022</v>
      </c>
      <c r="B16" t="s">
        <v>20</v>
      </c>
      <c r="C16">
        <v>744</v>
      </c>
      <c r="D16">
        <v>30535.320082783699</v>
      </c>
      <c r="E16">
        <v>15243.0294496229</v>
      </c>
      <c r="F16">
        <v>15292.290633160699</v>
      </c>
    </row>
    <row r="17" spans="1:6">
      <c r="A17">
        <v>2022</v>
      </c>
      <c r="B17" t="s">
        <v>21</v>
      </c>
      <c r="C17">
        <v>1917</v>
      </c>
      <c r="D17">
        <v>87597.060295104893</v>
      </c>
      <c r="E17">
        <v>43836.177116767903</v>
      </c>
      <c r="F17">
        <v>43760.883178336997</v>
      </c>
    </row>
    <row r="18" spans="1:6">
      <c r="A18">
        <v>2022</v>
      </c>
      <c r="B18" t="s">
        <v>22</v>
      </c>
      <c r="C18">
        <v>382</v>
      </c>
      <c r="D18">
        <v>19509.290045261299</v>
      </c>
      <c r="E18">
        <v>7805.3477684231302</v>
      </c>
      <c r="F18">
        <v>11703.942276838199</v>
      </c>
    </row>
    <row r="19" spans="1:6">
      <c r="A19">
        <v>2022</v>
      </c>
      <c r="B19" t="s">
        <v>23</v>
      </c>
      <c r="C19">
        <v>1931</v>
      </c>
      <c r="D19">
        <v>94882.470256567001</v>
      </c>
      <c r="E19">
        <v>46075.955702656604</v>
      </c>
      <c r="F19">
        <v>48806.514553910303</v>
      </c>
    </row>
    <row r="20" spans="1:6">
      <c r="A20">
        <v>2022</v>
      </c>
      <c r="B20" t="s">
        <v>24</v>
      </c>
      <c r="C20">
        <v>1132</v>
      </c>
      <c r="D20">
        <v>22111.370022773699</v>
      </c>
      <c r="E20">
        <v>13345.825656729299</v>
      </c>
      <c r="F20">
        <v>8765.5443660443507</v>
      </c>
    </row>
    <row r="21" spans="1:6">
      <c r="A21">
        <v>2022</v>
      </c>
      <c r="B21" t="s">
        <v>25</v>
      </c>
      <c r="C21">
        <v>682</v>
      </c>
      <c r="D21">
        <v>10839.8199832439</v>
      </c>
      <c r="E21">
        <v>4336.9121280552799</v>
      </c>
      <c r="F21">
        <v>6502.9078551886596</v>
      </c>
    </row>
    <row r="22" spans="1:6">
      <c r="A22">
        <v>2022</v>
      </c>
      <c r="B22" t="s">
        <v>26</v>
      </c>
      <c r="C22">
        <v>190</v>
      </c>
      <c r="D22">
        <v>21580.9200363159</v>
      </c>
      <c r="E22">
        <v>13096.192802666499</v>
      </c>
      <c r="F22">
        <v>8484.7272336493206</v>
      </c>
    </row>
    <row r="23" spans="1:6">
      <c r="A23">
        <v>2022</v>
      </c>
      <c r="B23" t="s">
        <v>27</v>
      </c>
      <c r="C23">
        <v>881</v>
      </c>
      <c r="D23">
        <v>109623.21999931301</v>
      </c>
      <c r="E23">
        <v>43998.172459188601</v>
      </c>
      <c r="F23">
        <v>65625.047540124593</v>
      </c>
    </row>
    <row r="24" spans="1:6">
      <c r="A24">
        <v>2022</v>
      </c>
      <c r="B24" t="s">
        <v>28</v>
      </c>
      <c r="C24">
        <v>1984</v>
      </c>
      <c r="D24">
        <v>145578.22007560701</v>
      </c>
      <c r="E24">
        <v>70114.284755337998</v>
      </c>
      <c r="F24">
        <v>75463.9353202692</v>
      </c>
    </row>
    <row r="25" spans="1:6">
      <c r="A25">
        <v>2022</v>
      </c>
      <c r="B25" t="s">
        <v>29</v>
      </c>
      <c r="C25">
        <v>2055</v>
      </c>
      <c r="D25">
        <v>118915.300156593</v>
      </c>
      <c r="E25">
        <v>60297.054626023797</v>
      </c>
      <c r="F25">
        <v>58618.245530569497</v>
      </c>
    </row>
    <row r="26" spans="1:6">
      <c r="A26">
        <v>2022</v>
      </c>
      <c r="B26" t="s">
        <v>30</v>
      </c>
      <c r="C26">
        <v>2093</v>
      </c>
      <c r="D26">
        <v>85705.140262365298</v>
      </c>
      <c r="E26">
        <v>48061.8540286239</v>
      </c>
      <c r="F26">
        <v>37643.286233741397</v>
      </c>
    </row>
    <row r="27" spans="1:6">
      <c r="A27">
        <v>2022</v>
      </c>
      <c r="B27" t="s">
        <v>31</v>
      </c>
      <c r="C27">
        <v>1311</v>
      </c>
      <c r="D27">
        <v>35269.360064029599</v>
      </c>
      <c r="E27">
        <v>16596.325574337799</v>
      </c>
      <c r="F27">
        <v>18673.0344896918</v>
      </c>
    </row>
    <row r="28" spans="1:6">
      <c r="A28">
        <v>2023</v>
      </c>
      <c r="B28" t="s">
        <v>6</v>
      </c>
      <c r="C28">
        <v>3362</v>
      </c>
      <c r="D28">
        <v>142458.09982772099</v>
      </c>
      <c r="E28">
        <v>57202.369008376998</v>
      </c>
      <c r="F28">
        <v>85255.730819344593</v>
      </c>
    </row>
    <row r="29" spans="1:6">
      <c r="A29">
        <v>2023</v>
      </c>
      <c r="B29" t="s">
        <v>7</v>
      </c>
      <c r="C29">
        <v>3237</v>
      </c>
      <c r="D29">
        <v>164673.480101108</v>
      </c>
      <c r="E29">
        <v>68770.178353615702</v>
      </c>
      <c r="F29">
        <v>95903.301747492806</v>
      </c>
    </row>
    <row r="30" spans="1:6">
      <c r="A30">
        <v>2023</v>
      </c>
      <c r="B30" t="s">
        <v>8</v>
      </c>
      <c r="C30">
        <v>1158</v>
      </c>
      <c r="D30">
        <v>104680.12019205</v>
      </c>
      <c r="E30">
        <v>39556.569284740101</v>
      </c>
      <c r="F30">
        <v>65123.550907310797</v>
      </c>
    </row>
    <row r="31" spans="1:6">
      <c r="A31">
        <v>2023</v>
      </c>
      <c r="B31" t="s">
        <v>9</v>
      </c>
      <c r="C31">
        <v>63</v>
      </c>
      <c r="D31">
        <v>5695.4700031280499</v>
      </c>
      <c r="E31">
        <v>3583.65398493867</v>
      </c>
      <c r="F31">
        <v>2111.81601818937</v>
      </c>
    </row>
    <row r="32" spans="1:6">
      <c r="A32">
        <v>2023</v>
      </c>
      <c r="B32" t="s">
        <v>10</v>
      </c>
      <c r="C32">
        <v>1970</v>
      </c>
      <c r="D32">
        <v>171729.23037242799</v>
      </c>
      <c r="E32">
        <v>77353.100329605993</v>
      </c>
      <c r="F32">
        <v>94376.130042822799</v>
      </c>
    </row>
    <row r="33" spans="1:6">
      <c r="A33">
        <v>2023</v>
      </c>
      <c r="B33" t="s">
        <v>11</v>
      </c>
      <c r="C33">
        <v>4133</v>
      </c>
      <c r="D33">
        <v>228788.20011043499</v>
      </c>
      <c r="E33">
        <v>119259.090750192</v>
      </c>
      <c r="F33">
        <v>109529.109360243</v>
      </c>
    </row>
    <row r="34" spans="1:6">
      <c r="A34">
        <v>2023</v>
      </c>
      <c r="B34" t="s">
        <v>12</v>
      </c>
      <c r="C34">
        <v>4774</v>
      </c>
      <c r="D34">
        <v>165431.10024356801</v>
      </c>
      <c r="E34">
        <v>88046.303642868195</v>
      </c>
      <c r="F34">
        <v>77384.796600700196</v>
      </c>
    </row>
    <row r="35" spans="1:6">
      <c r="A35">
        <v>2023</v>
      </c>
      <c r="B35" t="s">
        <v>13</v>
      </c>
      <c r="C35">
        <v>4483</v>
      </c>
      <c r="D35">
        <v>442256.45070075901</v>
      </c>
      <c r="E35">
        <v>236644.00796949799</v>
      </c>
      <c r="F35">
        <v>205612.44273126099</v>
      </c>
    </row>
    <row r="36" spans="1:6">
      <c r="A36">
        <v>2023</v>
      </c>
      <c r="B36" t="s">
        <v>14</v>
      </c>
      <c r="C36">
        <v>337</v>
      </c>
      <c r="D36">
        <v>13540.3000831604</v>
      </c>
      <c r="E36">
        <v>7209.3622951623902</v>
      </c>
      <c r="F36">
        <v>6330.9377879980002</v>
      </c>
    </row>
    <row r="37" spans="1:6">
      <c r="A37">
        <v>2023</v>
      </c>
      <c r="B37" t="s">
        <v>15</v>
      </c>
      <c r="C37">
        <v>1150</v>
      </c>
      <c r="D37">
        <v>31515.919970512299</v>
      </c>
      <c r="E37">
        <v>18890.916684659602</v>
      </c>
      <c r="F37">
        <v>12625.003285852699</v>
      </c>
    </row>
    <row r="38" spans="1:6">
      <c r="A38">
        <v>2023</v>
      </c>
      <c r="B38" t="s">
        <v>16</v>
      </c>
      <c r="C38">
        <v>1831</v>
      </c>
      <c r="D38">
        <v>93312.279750347094</v>
      </c>
      <c r="E38">
        <v>41201.613768173498</v>
      </c>
      <c r="F38">
        <v>52110.665982173501</v>
      </c>
    </row>
    <row r="39" spans="1:6">
      <c r="A39">
        <v>2023</v>
      </c>
      <c r="B39" t="s">
        <v>17</v>
      </c>
      <c r="C39">
        <v>3200</v>
      </c>
      <c r="D39">
        <v>467358.82979202201</v>
      </c>
      <c r="E39">
        <v>207741.279997081</v>
      </c>
      <c r="F39">
        <v>259617.54979494101</v>
      </c>
    </row>
    <row r="40" spans="1:6">
      <c r="A40">
        <v>2023</v>
      </c>
      <c r="B40" t="s">
        <v>18</v>
      </c>
      <c r="C40">
        <v>2529</v>
      </c>
      <c r="D40">
        <v>152557.900402069</v>
      </c>
      <c r="E40">
        <v>70049.2894196337</v>
      </c>
      <c r="F40">
        <v>82508.610982435304</v>
      </c>
    </row>
    <row r="41" spans="1:6">
      <c r="A41">
        <v>2023</v>
      </c>
      <c r="B41" t="s">
        <v>19</v>
      </c>
      <c r="C41">
        <v>1186</v>
      </c>
      <c r="D41">
        <v>67420.850334167393</v>
      </c>
      <c r="E41">
        <v>35501.485286467701</v>
      </c>
      <c r="F41">
        <v>31919.365047699699</v>
      </c>
    </row>
    <row r="42" spans="1:6">
      <c r="A42">
        <v>2023</v>
      </c>
      <c r="B42" t="s">
        <v>20</v>
      </c>
      <c r="C42">
        <v>1541</v>
      </c>
      <c r="D42">
        <v>57458.780176758701</v>
      </c>
      <c r="E42">
        <v>28778.449794174299</v>
      </c>
      <c r="F42">
        <v>28680.330382584401</v>
      </c>
    </row>
    <row r="43" spans="1:6">
      <c r="A43">
        <v>2023</v>
      </c>
      <c r="B43" t="s">
        <v>21</v>
      </c>
      <c r="C43">
        <v>3850</v>
      </c>
      <c r="D43">
        <v>178036.08054876301</v>
      </c>
      <c r="E43">
        <v>89186.828053228295</v>
      </c>
      <c r="F43">
        <v>88849.252495534805</v>
      </c>
    </row>
    <row r="44" spans="1:6">
      <c r="A44">
        <v>2023</v>
      </c>
      <c r="B44" t="s">
        <v>22</v>
      </c>
      <c r="C44">
        <v>758</v>
      </c>
      <c r="D44">
        <v>41543.560039043397</v>
      </c>
      <c r="E44">
        <v>16573.4473316722</v>
      </c>
      <c r="F44">
        <v>24970.112707371201</v>
      </c>
    </row>
    <row r="45" spans="1:6">
      <c r="A45">
        <v>2023</v>
      </c>
      <c r="B45" t="s">
        <v>23</v>
      </c>
      <c r="C45">
        <v>3861</v>
      </c>
      <c r="D45">
        <v>188638.21051406799</v>
      </c>
      <c r="E45">
        <v>91516.296629263103</v>
      </c>
      <c r="F45">
        <v>97121.913884805501</v>
      </c>
    </row>
    <row r="46" spans="1:6">
      <c r="A46">
        <v>2023</v>
      </c>
      <c r="B46" t="s">
        <v>24</v>
      </c>
      <c r="C46">
        <v>2235</v>
      </c>
      <c r="D46">
        <v>44237.620036840402</v>
      </c>
      <c r="E46">
        <v>26739.8469305648</v>
      </c>
      <c r="F46">
        <v>17497.773106275599</v>
      </c>
    </row>
    <row r="47" spans="1:6">
      <c r="A47">
        <v>2023</v>
      </c>
      <c r="B47" t="s">
        <v>25</v>
      </c>
      <c r="C47">
        <v>1318</v>
      </c>
      <c r="D47">
        <v>21752.509970426501</v>
      </c>
      <c r="E47">
        <v>8741.9354366848293</v>
      </c>
      <c r="F47">
        <v>13010.574533741699</v>
      </c>
    </row>
    <row r="48" spans="1:6">
      <c r="A48">
        <v>2023</v>
      </c>
      <c r="B48" t="s">
        <v>26</v>
      </c>
      <c r="C48">
        <v>351</v>
      </c>
      <c r="D48">
        <v>39423.559934616002</v>
      </c>
      <c r="E48">
        <v>23759.695007209801</v>
      </c>
      <c r="F48">
        <v>15663.864927406201</v>
      </c>
    </row>
    <row r="49" spans="1:6">
      <c r="A49">
        <v>2023</v>
      </c>
      <c r="B49" t="s">
        <v>27</v>
      </c>
      <c r="C49">
        <v>1829</v>
      </c>
      <c r="D49">
        <v>232120.92962265</v>
      </c>
      <c r="E49">
        <v>93179.800935933294</v>
      </c>
      <c r="F49">
        <v>138941.12868671599</v>
      </c>
    </row>
    <row r="50" spans="1:6">
      <c r="A50">
        <v>2023</v>
      </c>
      <c r="B50" t="s">
        <v>28</v>
      </c>
      <c r="C50">
        <v>3931</v>
      </c>
      <c r="D50">
        <v>300771.51007747598</v>
      </c>
      <c r="E50">
        <v>144754.75519308401</v>
      </c>
      <c r="F50">
        <v>156016.75488439199</v>
      </c>
    </row>
    <row r="51" spans="1:6">
      <c r="A51">
        <v>2023</v>
      </c>
      <c r="B51" t="s">
        <v>29</v>
      </c>
      <c r="C51">
        <v>4019</v>
      </c>
      <c r="D51">
        <v>224419.43023776999</v>
      </c>
      <c r="E51">
        <v>115012.849611624</v>
      </c>
      <c r="F51">
        <v>109406.58062614501</v>
      </c>
    </row>
    <row r="52" spans="1:6">
      <c r="A52">
        <v>2023</v>
      </c>
      <c r="B52" t="s">
        <v>30</v>
      </c>
      <c r="C52">
        <v>4101</v>
      </c>
      <c r="D52">
        <v>169116.620572805</v>
      </c>
      <c r="E52">
        <v>94669.893863127494</v>
      </c>
      <c r="F52">
        <v>74446.726709677794</v>
      </c>
    </row>
    <row r="53" spans="1:6">
      <c r="A53">
        <v>2023</v>
      </c>
      <c r="B53" t="s">
        <v>31</v>
      </c>
      <c r="C53">
        <v>2660</v>
      </c>
      <c r="D53">
        <v>72885.690109252901</v>
      </c>
      <c r="E53">
        <v>34251.140488241697</v>
      </c>
      <c r="F53">
        <v>38634.549621011101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8FF4-86D8-4D75-87AF-9949798FF1A2}">
  <dimension ref="A1:M44"/>
  <sheetViews>
    <sheetView workbookViewId="0">
      <pane xSplit="1" ySplit="1" topLeftCell="G2" activePane="bottomRight" state="frozen"/>
      <selection pane="topRight" activeCell="B1" sqref="B1"/>
      <selection pane="bottomLeft" activeCell="A2" sqref="A2"/>
      <selection pane="bottomRight" activeCell="K2" sqref="K2"/>
    </sheetView>
  </sheetViews>
  <sheetFormatPr baseColWidth="10" defaultRowHeight="15"/>
  <cols>
    <col min="1" max="1" width="28.5703125" bestFit="1" customWidth="1"/>
    <col min="2" max="2" width="18.85546875" bestFit="1" customWidth="1"/>
    <col min="3" max="3" width="13.5703125" bestFit="1" customWidth="1"/>
    <col min="4" max="4" width="12.5703125" bestFit="1" customWidth="1"/>
    <col min="5" max="5" width="14.140625" bestFit="1" customWidth="1"/>
    <col min="6" max="7" width="22.42578125" bestFit="1" customWidth="1"/>
    <col min="8" max="8" width="22.42578125" customWidth="1"/>
    <col min="9" max="9" width="28.5703125" bestFit="1" customWidth="1"/>
    <col min="10" max="10" width="13.85546875" bestFit="1" customWidth="1"/>
    <col min="11" max="11" width="21.85546875" bestFit="1" customWidth="1"/>
    <col min="12" max="12" width="14.140625" bestFit="1" customWidth="1"/>
    <col min="13" max="13" width="16.7109375" bestFit="1" customWidth="1"/>
  </cols>
  <sheetData>
    <row r="1" spans="1:13">
      <c r="A1" t="s">
        <v>1</v>
      </c>
      <c r="B1" t="s">
        <v>33</v>
      </c>
      <c r="C1" t="s">
        <v>34</v>
      </c>
      <c r="D1" t="s">
        <v>35</v>
      </c>
      <c r="E1" t="s">
        <v>36</v>
      </c>
      <c r="F1" t="s">
        <v>37</v>
      </c>
      <c r="G1" t="s">
        <v>39</v>
      </c>
      <c r="H1" t="s">
        <v>38</v>
      </c>
      <c r="I1" t="s">
        <v>40</v>
      </c>
      <c r="J1" t="s">
        <v>41</v>
      </c>
      <c r="K1" t="s">
        <v>42</v>
      </c>
      <c r="L1" t="s">
        <v>49</v>
      </c>
      <c r="M1" t="s">
        <v>50</v>
      </c>
    </row>
    <row r="2" spans="1:13">
      <c r="A2" t="s">
        <v>17</v>
      </c>
      <c r="B2" s="2">
        <f>SUMIFS(Datos!$C$2:$C$53,Datos!$A$2:$A$53,2022,Datos!$B$2:$B$53,$A2)</f>
        <v>1482</v>
      </c>
      <c r="C2" s="2">
        <f>SUMIFS(Datos!$C$2:$C$53,Datos!$A$2:$A$53,2023,Datos!$B$2:$B$53,$A2)</f>
        <v>3200</v>
      </c>
      <c r="D2" s="1">
        <f>SUMIFS(Datos!$F$2:$F$53,Datos!$A$2:$A$53,2022,Datos!$B$2:$B$53,$A2)</f>
        <v>115563.098512029</v>
      </c>
      <c r="E2" s="1">
        <f>SUMIFS(Datos!$F$2:$F$53,Datos!$A$2:$A$53,2023,Datos!$B$2:$B$53,$A2)</f>
        <v>259617.54979494101</v>
      </c>
      <c r="F2" s="1">
        <f>+D2/B2</f>
        <v>77.977799265876513</v>
      </c>
      <c r="G2" s="1">
        <f>+E2/C2</f>
        <v>81.130484310919059</v>
      </c>
      <c r="H2" s="4">
        <f>+B2/$B$28</f>
        <v>4.6683046683046681E-2</v>
      </c>
      <c r="I2" s="4">
        <f>+C2/$C$28</f>
        <v>5.0104122629840139E-2</v>
      </c>
      <c r="J2" s="5">
        <f>$C$28*(I2-H2)*F2</f>
        <v>17037.670160483074</v>
      </c>
      <c r="K2" s="5">
        <f>C2*(G2-F2)</f>
        <v>10088.592144136146</v>
      </c>
      <c r="L2" s="5">
        <f>+E2-D2</f>
        <v>144054.45128291199</v>
      </c>
      <c r="M2" s="4">
        <f>+L2/$L$28</f>
        <v>0.14187131218136639</v>
      </c>
    </row>
    <row r="3" spans="1:13">
      <c r="A3" t="s">
        <v>13</v>
      </c>
      <c r="B3" s="2">
        <f>SUMIFS(Datos!$C$2:$C$53,Datos!$A$2:$A$53,2022,Datos!$B$2:$B$53,$A3)</f>
        <v>2267</v>
      </c>
      <c r="C3" s="2">
        <f>SUMIFS(Datos!$C$2:$C$53,Datos!$A$2:$A$53,2023,Datos!$B$2:$B$53,$A3)</f>
        <v>4483</v>
      </c>
      <c r="D3" s="1">
        <f>SUMIFS(Datos!$F$2:$F$53,Datos!$A$2:$A$53,2022,Datos!$B$2:$B$53,$A3)</f>
        <v>103909.45713253701</v>
      </c>
      <c r="E3" s="1">
        <f>SUMIFS(Datos!$F$2:$F$53,Datos!$A$2:$A$53,2023,Datos!$B$2:$B$53,$A3)</f>
        <v>205612.44273126099</v>
      </c>
      <c r="F3" s="1">
        <f>+D3/B3</f>
        <v>45.835667019204678</v>
      </c>
      <c r="G3" s="1">
        <f>+E3/C3</f>
        <v>45.86492142120477</v>
      </c>
      <c r="H3" s="4">
        <f>+B3/$B$28</f>
        <v>7.1410571410571416E-2</v>
      </c>
      <c r="I3" s="4">
        <f>+C3/$C$28</f>
        <v>7.019274429674166E-2</v>
      </c>
      <c r="J3" s="5">
        <f>$C$28*(I3-H3)*F3</f>
        <v>-3565.0507077892557</v>
      </c>
      <c r="K3" s="5">
        <f>C3*(G3-F3)</f>
        <v>131.1474841664114</v>
      </c>
      <c r="L3" s="5">
        <f>+E3-D3</f>
        <v>101702.98559872399</v>
      </c>
      <c r="M3" s="4">
        <f>+L3/$L$28</f>
        <v>0.10016168116399708</v>
      </c>
    </row>
    <row r="4" spans="1:13">
      <c r="A4" t="s">
        <v>28</v>
      </c>
      <c r="B4" s="2">
        <f>SUMIFS(Datos!$C$2:$C$53,Datos!$A$2:$A$53,2022,Datos!$B$2:$B$53,$A4)</f>
        <v>1984</v>
      </c>
      <c r="C4" s="2">
        <f>SUMIFS(Datos!$C$2:$C$53,Datos!$A$2:$A$53,2023,Datos!$B$2:$B$53,$A4)</f>
        <v>3931</v>
      </c>
      <c r="D4" s="1">
        <f>SUMIFS(Datos!$F$2:$F$53,Datos!$A$2:$A$53,2022,Datos!$B$2:$B$53,$A4)</f>
        <v>75463.9353202692</v>
      </c>
      <c r="E4" s="1">
        <f>SUMIFS(Datos!$F$2:$F$53,Datos!$A$2:$A$53,2023,Datos!$B$2:$B$53,$A4)</f>
        <v>156016.75488439199</v>
      </c>
      <c r="F4" s="1">
        <f>+D4/B4</f>
        <v>38.036257721909877</v>
      </c>
      <c r="G4" s="1">
        <f>+E4/C4</f>
        <v>39.68882088130043</v>
      </c>
      <c r="H4" s="4">
        <f>+B4/$B$28</f>
        <v>6.2496062496062495E-2</v>
      </c>
      <c r="I4" s="4">
        <f>+C4/$C$28</f>
        <v>6.1549783143094242E-2</v>
      </c>
      <c r="J4" s="5">
        <f>$C$28*(I4-H4)*F4</f>
        <v>-2298.760163099972</v>
      </c>
      <c r="K4" s="5">
        <f>C4*(G4-F4)</f>
        <v>6496.2257795642636</v>
      </c>
      <c r="L4" s="5">
        <f>+E4-D4</f>
        <v>80552.819564122794</v>
      </c>
      <c r="M4" s="4">
        <f>+L4/$L$28</f>
        <v>7.9332044998921672E-2</v>
      </c>
    </row>
    <row r="5" spans="1:13">
      <c r="A5" t="s">
        <v>27</v>
      </c>
      <c r="B5" s="2">
        <f>SUMIFS(Datos!$C$2:$C$53,Datos!$A$2:$A$53,2022,Datos!$B$2:$B$53,$A5)</f>
        <v>881</v>
      </c>
      <c r="C5" s="2">
        <f>SUMIFS(Datos!$C$2:$C$53,Datos!$A$2:$A$53,2023,Datos!$B$2:$B$53,$A5)</f>
        <v>1829</v>
      </c>
      <c r="D5" s="1">
        <f>SUMIFS(Datos!$F$2:$F$53,Datos!$A$2:$A$53,2022,Datos!$B$2:$B$53,$A5)</f>
        <v>65625.047540124593</v>
      </c>
      <c r="E5" s="1">
        <f>SUMIFS(Datos!$F$2:$F$53,Datos!$A$2:$A$53,2023,Datos!$B$2:$B$53,$A5)</f>
        <v>138941.12868671599</v>
      </c>
      <c r="F5" s="1">
        <f>+D5/B5</f>
        <v>74.489270760640849</v>
      </c>
      <c r="G5" s="1">
        <f>+E5/C5</f>
        <v>75.965625307116454</v>
      </c>
      <c r="H5" s="4">
        <f>+B5/$B$28</f>
        <v>2.7751527751527751E-2</v>
      </c>
      <c r="I5" s="4">
        <f>+C5/$C$28</f>
        <v>2.8637637590618003E-2</v>
      </c>
      <c r="J5" s="5">
        <f>$C$28*(I5-H5)*F5</f>
        <v>4215.584491698567</v>
      </c>
      <c r="K5" s="5">
        <f>C5*(G5-F5)</f>
        <v>2700.2524655038815</v>
      </c>
      <c r="L5" s="5">
        <f>+E5-D5</f>
        <v>73316.081146591401</v>
      </c>
      <c r="M5" s="4">
        <f>+L5/$L$28</f>
        <v>7.2204979045283404E-2</v>
      </c>
    </row>
    <row r="6" spans="1:13">
      <c r="A6" t="s">
        <v>11</v>
      </c>
      <c r="B6" s="2">
        <f>SUMIFS(Datos!$C$2:$C$53,Datos!$A$2:$A$53,2022,Datos!$B$2:$B$53,$A6)</f>
        <v>2062</v>
      </c>
      <c r="C6" s="2">
        <f>SUMIFS(Datos!$C$2:$C$53,Datos!$A$2:$A$53,2023,Datos!$B$2:$B$53,$A6)</f>
        <v>4133</v>
      </c>
      <c r="D6" s="1">
        <f>SUMIFS(Datos!$F$2:$F$53,Datos!$A$2:$A$53,2022,Datos!$B$2:$B$53,$A6)</f>
        <v>53532.586068709898</v>
      </c>
      <c r="E6" s="1">
        <f>SUMIFS(Datos!$F$2:$F$53,Datos!$A$2:$A$53,2023,Datos!$B$2:$B$53,$A6)</f>
        <v>109529.109360243</v>
      </c>
      <c r="F6" s="1">
        <f>+D6/B6</f>
        <v>25.961486939238554</v>
      </c>
      <c r="G6" s="1">
        <f>+E6/C6</f>
        <v>26.501115257740867</v>
      </c>
      <c r="H6" s="4">
        <f>+B6/$B$28</f>
        <v>6.4953064953064951E-2</v>
      </c>
      <c r="I6" s="4">
        <f>+C6/$C$28</f>
        <v>6.4712605884102894E-2</v>
      </c>
      <c r="J6" s="5">
        <f>$C$28*(I6-H6)*F6</f>
        <v>-398.70092283780224</v>
      </c>
      <c r="K6" s="5">
        <f>C6*(G6-F6)</f>
        <v>2230.2838403700594</v>
      </c>
      <c r="L6" s="5">
        <f>+E6-D6</f>
        <v>55996.523291533107</v>
      </c>
      <c r="M6" s="4">
        <f>+L6/$L$28</f>
        <v>5.5147898355200745E-2</v>
      </c>
    </row>
    <row r="7" spans="1:13">
      <c r="A7" t="s">
        <v>10</v>
      </c>
      <c r="B7" s="2">
        <f>SUMIFS(Datos!$C$2:$C$53,Datos!$A$2:$A$53,2022,Datos!$B$2:$B$53,$A7)</f>
        <v>921</v>
      </c>
      <c r="C7" s="2">
        <f>SUMIFS(Datos!$C$2:$C$53,Datos!$A$2:$A$53,2023,Datos!$B$2:$B$53,$A7)</f>
        <v>1970</v>
      </c>
      <c r="D7" s="1">
        <f>SUMIFS(Datos!$F$2:$F$53,Datos!$A$2:$A$53,2022,Datos!$B$2:$B$53,$A7)</f>
        <v>41534.610178156698</v>
      </c>
      <c r="E7" s="1">
        <f>SUMIFS(Datos!$F$2:$F$53,Datos!$A$2:$A$53,2023,Datos!$B$2:$B$53,$A7)</f>
        <v>94376.130042822799</v>
      </c>
      <c r="F7" s="1">
        <f>+D7/B7</f>
        <v>45.097296610376439</v>
      </c>
      <c r="G7" s="1">
        <f>+E7/C7</f>
        <v>47.906664996356753</v>
      </c>
      <c r="H7" s="4">
        <f>+B7/$B$28</f>
        <v>2.9011529011529012E-2</v>
      </c>
      <c r="I7" s="4">
        <f>+C7/$C$28</f>
        <v>3.0845350493995335E-2</v>
      </c>
      <c r="J7" s="5">
        <f>$C$28*(I7-H7)*F7</f>
        <v>5281.8258927706365</v>
      </c>
      <c r="K7" s="5">
        <f>C7*(G7-F7)</f>
        <v>5534.4557203812174</v>
      </c>
      <c r="L7" s="5">
        <f>+E7-D7</f>
        <v>52841.519864666101</v>
      </c>
      <c r="M7" s="4">
        <f>+L7/$L$28</f>
        <v>5.2040708871501494E-2</v>
      </c>
    </row>
    <row r="8" spans="1:13">
      <c r="A8" t="s">
        <v>29</v>
      </c>
      <c r="B8" s="2">
        <f>SUMIFS(Datos!$C$2:$C$53,Datos!$A$2:$A$53,2022,Datos!$B$2:$B$53,$A8)</f>
        <v>2055</v>
      </c>
      <c r="C8" s="2">
        <f>SUMIFS(Datos!$C$2:$C$53,Datos!$A$2:$A$53,2023,Datos!$B$2:$B$53,$A8)</f>
        <v>4019</v>
      </c>
      <c r="D8" s="1">
        <f>SUMIFS(Datos!$F$2:$F$53,Datos!$A$2:$A$53,2022,Datos!$B$2:$B$53,$A8)</f>
        <v>58618.245530569497</v>
      </c>
      <c r="E8" s="1">
        <f>SUMIFS(Datos!$F$2:$F$53,Datos!$A$2:$A$53,2023,Datos!$B$2:$B$53,$A8)</f>
        <v>109406.58062614501</v>
      </c>
      <c r="F8" s="1">
        <f>+D8/B8</f>
        <v>28.524693688841605</v>
      </c>
      <c r="G8" s="1">
        <f>+E8/C8</f>
        <v>27.222339046067432</v>
      </c>
      <c r="H8" s="4">
        <f>+B8/$B$28</f>
        <v>6.4732564732564737E-2</v>
      </c>
      <c r="I8" s="4">
        <f>+C8/$C$28</f>
        <v>6.292764651541484E-2</v>
      </c>
      <c r="J8" s="5">
        <f>$C$28*(I8-H8)*F8</f>
        <v>-3288.1758434431777</v>
      </c>
      <c r="K8" s="5">
        <f>C8*(G8-F8)</f>
        <v>-5234.1633093094006</v>
      </c>
      <c r="L8" s="5">
        <f>+E8-D8</f>
        <v>50788.335095575509</v>
      </c>
      <c r="M8" s="4">
        <f>+L8/$L$28</f>
        <v>5.0018640030535168E-2</v>
      </c>
    </row>
    <row r="9" spans="1:13">
      <c r="A9" t="s">
        <v>23</v>
      </c>
      <c r="B9" s="2">
        <f>SUMIFS(Datos!$C$2:$C$53,Datos!$A$2:$A$53,2022,Datos!$B$2:$B$53,$A9)</f>
        <v>1931</v>
      </c>
      <c r="C9" s="2">
        <f>SUMIFS(Datos!$C$2:$C$53,Datos!$A$2:$A$53,2023,Datos!$B$2:$B$53,$A9)</f>
        <v>3861</v>
      </c>
      <c r="D9" s="1">
        <f>SUMIFS(Datos!$F$2:$F$53,Datos!$A$2:$A$53,2022,Datos!$B$2:$B$53,$A9)</f>
        <v>48806.514553910303</v>
      </c>
      <c r="E9" s="1">
        <f>SUMIFS(Datos!$F$2:$F$53,Datos!$A$2:$A$53,2023,Datos!$B$2:$B$53,$A9)</f>
        <v>97121.913884805501</v>
      </c>
      <c r="F9" s="1">
        <f>+D9/B9</f>
        <v>25.275253523516469</v>
      </c>
      <c r="G9" s="1">
        <f>+E9/C9</f>
        <v>25.154600850765476</v>
      </c>
      <c r="H9" s="4">
        <f>+B9/$B$28</f>
        <v>6.0826560826560828E-2</v>
      </c>
      <c r="I9" s="4">
        <f>+C9/$C$28</f>
        <v>6.0453755460566493E-2</v>
      </c>
      <c r="J9" s="5">
        <f>$C$28*(I9-H9)*F9</f>
        <v>-601.8027832191101</v>
      </c>
      <c r="K9" s="5">
        <f>C9*(G9-F9)</f>
        <v>-465.83996949158188</v>
      </c>
      <c r="L9" s="5">
        <f>+E9-D9</f>
        <v>48315.399330895198</v>
      </c>
      <c r="M9" s="4">
        <f>+L9/$L$28</f>
        <v>4.7583181502520604E-2</v>
      </c>
    </row>
    <row r="10" spans="1:13">
      <c r="A10" t="s">
        <v>7</v>
      </c>
      <c r="B10" s="2">
        <f>SUMIFS(Datos!$C$2:$C$53,Datos!$A$2:$A$53,2022,Datos!$B$2:$B$53,$A10)</f>
        <v>1545</v>
      </c>
      <c r="C10" s="2">
        <f>SUMIFS(Datos!$C$2:$C$53,Datos!$A$2:$A$53,2023,Datos!$B$2:$B$53,$A10)</f>
        <v>3237</v>
      </c>
      <c r="D10" s="1">
        <f>SUMIFS(Datos!$F$2:$F$53,Datos!$A$2:$A$53,2022,Datos!$B$2:$B$53,$A10)</f>
        <v>47605.775239307703</v>
      </c>
      <c r="E10" s="1">
        <f>SUMIFS(Datos!$F$2:$F$53,Datos!$A$2:$A$53,2023,Datos!$B$2:$B$53,$A10)</f>
        <v>95903.301747492806</v>
      </c>
      <c r="F10" s="1">
        <f>+D10/B10</f>
        <v>30.812799507642527</v>
      </c>
      <c r="G10" s="1">
        <f>+E10/C10</f>
        <v>29.627217098391352</v>
      </c>
      <c r="H10" s="4">
        <f>+B10/$B$28</f>
        <v>4.8667548667548667E-2</v>
      </c>
      <c r="I10" s="4">
        <f>+C10/$C$28</f>
        <v>5.0683451547747664E-2</v>
      </c>
      <c r="J10" s="5">
        <f>$C$28*(I10-H10)*F10</f>
        <v>3967.1377452653501</v>
      </c>
      <c r="K10" s="5">
        <f>C10*(G10-F10)</f>
        <v>-3837.7302587460545</v>
      </c>
      <c r="L10" s="5">
        <f>+E10-D10</f>
        <v>48297.526508185103</v>
      </c>
      <c r="M10" s="4">
        <f>+L10/$L$28</f>
        <v>4.7565579541680905E-2</v>
      </c>
    </row>
    <row r="11" spans="1:13">
      <c r="A11" t="s">
        <v>21</v>
      </c>
      <c r="B11" s="2">
        <f>SUMIFS(Datos!$C$2:$C$53,Datos!$A$2:$A$53,2022,Datos!$B$2:$B$53,$A11)</f>
        <v>1917</v>
      </c>
      <c r="C11" s="2">
        <f>SUMIFS(Datos!$C$2:$C$53,Datos!$A$2:$A$53,2023,Datos!$B$2:$B$53,$A11)</f>
        <v>3850</v>
      </c>
      <c r="D11" s="1">
        <f>SUMIFS(Datos!$F$2:$F$53,Datos!$A$2:$A$53,2022,Datos!$B$2:$B$53,$A11)</f>
        <v>43760.883178336997</v>
      </c>
      <c r="E11" s="1">
        <f>SUMIFS(Datos!$F$2:$F$53,Datos!$A$2:$A$53,2023,Datos!$B$2:$B$53,$A11)</f>
        <v>88849.252495534805</v>
      </c>
      <c r="F11" s="1">
        <f>+D11/B11</f>
        <v>22.827795085204485</v>
      </c>
      <c r="G11" s="1">
        <f>+E11/C11</f>
        <v>23.077727920918132</v>
      </c>
      <c r="H11" s="4">
        <f>+B11/$B$28</f>
        <v>6.0385560385560387E-2</v>
      </c>
      <c r="I11" s="4">
        <f>+C11/$C$28</f>
        <v>6.0281522539026411E-2</v>
      </c>
      <c r="J11" s="5">
        <f>$C$28*(I11-H11)*F11</f>
        <v>-151.68122810679054</v>
      </c>
      <c r="K11" s="5">
        <f>C11*(G11-F11)</f>
        <v>962.24141749754097</v>
      </c>
      <c r="L11" s="5">
        <f>+E11-D11</f>
        <v>45088.369317197808</v>
      </c>
      <c r="M11" s="4">
        <f>+L11/$L$28</f>
        <v>4.4405056991860592E-2</v>
      </c>
    </row>
    <row r="12" spans="1:13">
      <c r="A12" t="s">
        <v>18</v>
      </c>
      <c r="B12" s="2">
        <f>SUMIFS(Datos!$C$2:$C$53,Datos!$A$2:$A$53,2022,Datos!$B$2:$B$53,$A12)</f>
        <v>1311</v>
      </c>
      <c r="C12" s="2">
        <f>SUMIFS(Datos!$C$2:$C$53,Datos!$A$2:$A$53,2023,Datos!$B$2:$B$53,$A12)</f>
        <v>2529</v>
      </c>
      <c r="D12" s="1">
        <f>SUMIFS(Datos!$F$2:$F$53,Datos!$A$2:$A$53,2022,Datos!$B$2:$B$53,$A12)</f>
        <v>40936.629369049602</v>
      </c>
      <c r="E12" s="1">
        <f>SUMIFS(Datos!$F$2:$F$53,Datos!$A$2:$A$53,2023,Datos!$B$2:$B$53,$A12)</f>
        <v>82508.610982435304</v>
      </c>
      <c r="F12" s="1">
        <f>+D12/B12</f>
        <v>31.225499137337607</v>
      </c>
      <c r="G12" s="1">
        <f>+E12/C12</f>
        <v>32.624994457269793</v>
      </c>
      <c r="H12" s="4">
        <f>+B12/$B$28</f>
        <v>4.1296541296541298E-2</v>
      </c>
      <c r="I12" s="4">
        <f>+C12/$C$28</f>
        <v>3.9597914415895531E-2</v>
      </c>
      <c r="J12" s="5">
        <f>$C$28*(I12-H12)*F12</f>
        <v>-3387.535837758719</v>
      </c>
      <c r="K12" s="5">
        <f>C12*(G12-F12)</f>
        <v>3539.3236641084973</v>
      </c>
      <c r="L12" s="5">
        <f>+E12-D12</f>
        <v>41571.981613385702</v>
      </c>
      <c r="M12" s="4">
        <f>+L12/$L$28</f>
        <v>4.094195999461131E-2</v>
      </c>
    </row>
    <row r="13" spans="1:13">
      <c r="A13" t="s">
        <v>12</v>
      </c>
      <c r="B13" s="2">
        <f>SUMIFS(Datos!$C$2:$C$53,Datos!$A$2:$A$53,2022,Datos!$B$2:$B$53,$A13)</f>
        <v>2267</v>
      </c>
      <c r="C13" s="2">
        <f>SUMIFS(Datos!$C$2:$C$53,Datos!$A$2:$A$53,2023,Datos!$B$2:$B$53,$A13)</f>
        <v>4774</v>
      </c>
      <c r="D13" s="1">
        <f>SUMIFS(Datos!$F$2:$F$53,Datos!$A$2:$A$53,2022,Datos!$B$2:$B$53,$A13)</f>
        <v>36238.167525004697</v>
      </c>
      <c r="E13" s="1">
        <f>SUMIFS(Datos!$F$2:$F$53,Datos!$A$2:$A$53,2023,Datos!$B$2:$B$53,$A13)</f>
        <v>77384.796600700196</v>
      </c>
      <c r="F13" s="1">
        <f>+D13/B13</f>
        <v>15.985076102781075</v>
      </c>
      <c r="G13" s="1">
        <f>+E13/C13</f>
        <v>16.209634813720193</v>
      </c>
      <c r="H13" s="4">
        <f>+B13/$B$28</f>
        <v>7.1410571410571416E-2</v>
      </c>
      <c r="I13" s="4">
        <f>+C13/$C$28</f>
        <v>7.4749087948392759E-2</v>
      </c>
      <c r="J13" s="5">
        <f>$C$28*(I13-H13)*F13</f>
        <v>3408.3544827145579</v>
      </c>
      <c r="K13" s="5">
        <f>C13*(G13-F13)</f>
        <v>1072.0432860233464</v>
      </c>
      <c r="L13" s="5">
        <f>+E13-D13</f>
        <v>41146.629075695499</v>
      </c>
      <c r="M13" s="4">
        <f>+L13/$L$28</f>
        <v>4.0523053656595628E-2</v>
      </c>
    </row>
    <row r="14" spans="1:13">
      <c r="A14" t="s">
        <v>6</v>
      </c>
      <c r="B14" s="2">
        <f>SUMIFS(Datos!$C$2:$C$53,Datos!$A$2:$A$53,2022,Datos!$B$2:$B$53,$A14)</f>
        <v>1774</v>
      </c>
      <c r="C14" s="2">
        <f>SUMIFS(Datos!$C$2:$C$53,Datos!$A$2:$A$53,2023,Datos!$B$2:$B$53,$A14)</f>
        <v>3362</v>
      </c>
      <c r="D14" s="1">
        <f>SUMIFS(Datos!$F$2:$F$53,Datos!$A$2:$A$53,2022,Datos!$B$2:$B$53,$A14)</f>
        <v>47173.885612168997</v>
      </c>
      <c r="E14" s="1">
        <f>SUMIFS(Datos!$F$2:$F$53,Datos!$A$2:$A$53,2023,Datos!$B$2:$B$53,$A14)</f>
        <v>85255.730819344593</v>
      </c>
      <c r="F14" s="1">
        <f>+D14/B14</f>
        <v>26.591818270670235</v>
      </c>
      <c r="G14" s="1">
        <f>+E14/C14</f>
        <v>25.358634984932955</v>
      </c>
      <c r="H14" s="4">
        <f>+B14/$B$28</f>
        <v>5.588105588105588E-2</v>
      </c>
      <c r="I14" s="4">
        <f>+C14/$C$28</f>
        <v>5.2640643837975794E-2</v>
      </c>
      <c r="J14" s="5">
        <f>$C$28*(I14-H14)*F14</f>
        <v>-5503.3202793804885</v>
      </c>
      <c r="K14" s="5">
        <f>C14*(G14-F14)</f>
        <v>-4145.9622066487336</v>
      </c>
      <c r="L14" s="5">
        <f>+E14-D14</f>
        <v>38081.845207175596</v>
      </c>
      <c r="M14" s="4">
        <f>+L14/$L$28</f>
        <v>3.7504716457661881E-2</v>
      </c>
    </row>
    <row r="15" spans="1:13">
      <c r="A15" t="s">
        <v>30</v>
      </c>
      <c r="B15" s="2">
        <f>SUMIFS(Datos!$C$2:$C$53,Datos!$A$2:$A$53,2022,Datos!$B$2:$B$53,$A15)</f>
        <v>2093</v>
      </c>
      <c r="C15" s="2">
        <f>SUMIFS(Datos!$C$2:$C$53,Datos!$A$2:$A$53,2023,Datos!$B$2:$B$53,$A15)</f>
        <v>4101</v>
      </c>
      <c r="D15" s="1">
        <f>SUMIFS(Datos!$F$2:$F$53,Datos!$A$2:$A$53,2022,Datos!$B$2:$B$53,$A15)</f>
        <v>37643.286233741397</v>
      </c>
      <c r="E15" s="1">
        <f>SUMIFS(Datos!$F$2:$F$53,Datos!$A$2:$A$53,2023,Datos!$B$2:$B$53,$A15)</f>
        <v>74446.726709677794</v>
      </c>
      <c r="F15" s="1">
        <f>+D15/B15</f>
        <v>17.985325481959578</v>
      </c>
      <c r="G15" s="1">
        <f>+E15/C15</f>
        <v>18.153310585144549</v>
      </c>
      <c r="H15" s="4">
        <f>+B15/$B$28</f>
        <v>6.5929565929565934E-2</v>
      </c>
      <c r="I15" s="4">
        <f>+C15/$C$28</f>
        <v>6.4211564657804504E-2</v>
      </c>
      <c r="J15" s="5">
        <f>$C$28*(I15-H15)*F15</f>
        <v>-1973.4144292643975</v>
      </c>
      <c r="K15" s="5">
        <f>C15*(G15-F15)</f>
        <v>688.90690816156814</v>
      </c>
      <c r="L15" s="5">
        <f>+E15-D15</f>
        <v>36803.440475936397</v>
      </c>
      <c r="M15" s="4">
        <f>+L15/$L$28</f>
        <v>3.6245685895922572E-2</v>
      </c>
    </row>
    <row r="16" spans="1:13">
      <c r="A16" t="s">
        <v>8</v>
      </c>
      <c r="B16" s="2">
        <f>SUMIFS(Datos!$C$2:$C$53,Datos!$A$2:$A$53,2022,Datos!$B$2:$B$53,$A16)</f>
        <v>587</v>
      </c>
      <c r="C16" s="2">
        <f>SUMIFS(Datos!$C$2:$C$53,Datos!$A$2:$A$53,2023,Datos!$B$2:$B$53,$A16)</f>
        <v>1158</v>
      </c>
      <c r="D16" s="1">
        <f>SUMIFS(Datos!$F$2:$F$53,Datos!$A$2:$A$53,2022,Datos!$B$2:$B$53,$A16)</f>
        <v>32190.464684526301</v>
      </c>
      <c r="E16" s="1">
        <f>SUMIFS(Datos!$F$2:$F$53,Datos!$A$2:$A$53,2023,Datos!$B$2:$B$53,$A16)</f>
        <v>65123.550907310797</v>
      </c>
      <c r="F16" s="1">
        <f>+D16/B16</f>
        <v>54.838951762395745</v>
      </c>
      <c r="G16" s="1">
        <f>+E16/C16</f>
        <v>56.237954151391016</v>
      </c>
      <c r="H16" s="4">
        <f>+B16/$B$28</f>
        <v>1.8490518490518491E-2</v>
      </c>
      <c r="I16" s="4">
        <f>+C16/$C$28</f>
        <v>1.8131429376673398E-2</v>
      </c>
      <c r="J16" s="5">
        <f>$C$28*(I16-H16)*F16</f>
        <v>-1257.67347253455</v>
      </c>
      <c r="K16" s="5">
        <f>C16*(G16-F16)</f>
        <v>1620.0447664565238</v>
      </c>
      <c r="L16" s="5">
        <f>+E16-D16</f>
        <v>32933.086222784492</v>
      </c>
      <c r="M16" s="4">
        <f>+L16/$L$28</f>
        <v>3.2433986697381199E-2</v>
      </c>
    </row>
    <row r="17" spans="1:13">
      <c r="A17" t="s">
        <v>16</v>
      </c>
      <c r="B17" s="2">
        <f>SUMIFS(Datos!$C$2:$C$53,Datos!$A$2:$A$53,2022,Datos!$B$2:$B$53,$A17)</f>
        <v>884</v>
      </c>
      <c r="C17" s="2">
        <f>SUMIFS(Datos!$C$2:$C$53,Datos!$A$2:$A$53,2023,Datos!$B$2:$B$53,$A17)</f>
        <v>1831</v>
      </c>
      <c r="D17" s="1">
        <f>SUMIFS(Datos!$F$2:$F$53,Datos!$A$2:$A$53,2022,Datos!$B$2:$B$53,$A17)</f>
        <v>25477.419705316399</v>
      </c>
      <c r="E17" s="1">
        <f>SUMIFS(Datos!$F$2:$F$53,Datos!$A$2:$A$53,2023,Datos!$B$2:$B$53,$A17)</f>
        <v>52110.665982173501</v>
      </c>
      <c r="F17" s="1">
        <f>+D17/B17</f>
        <v>28.820610526376019</v>
      </c>
      <c r="G17" s="1">
        <f>+E17/C17</f>
        <v>28.460221727019935</v>
      </c>
      <c r="H17" s="4">
        <f>+B17/$B$28</f>
        <v>2.7846027846027847E-2</v>
      </c>
      <c r="I17" s="4">
        <f>+C17/$C$28</f>
        <v>2.8668952667261653E-2</v>
      </c>
      <c r="J17" s="5">
        <f>$C$28*(I17-H17)*F17</f>
        <v>1514.7461419403155</v>
      </c>
      <c r="K17" s="5">
        <f>C17*(G17-F17)</f>
        <v>-659.87189162098969</v>
      </c>
      <c r="L17" s="5">
        <f>+E17-D17</f>
        <v>26633.246276857102</v>
      </c>
      <c r="M17" s="4">
        <f>+L17/$L$28</f>
        <v>2.6229620558732573E-2</v>
      </c>
    </row>
    <row r="18" spans="1:13">
      <c r="A18" t="s">
        <v>31</v>
      </c>
      <c r="B18" s="2">
        <f>SUMIFS(Datos!$C$2:$C$53,Datos!$A$2:$A$53,2022,Datos!$B$2:$B$53,$A18)</f>
        <v>1311</v>
      </c>
      <c r="C18" s="2">
        <f>SUMIFS(Datos!$C$2:$C$53,Datos!$A$2:$A$53,2023,Datos!$B$2:$B$53,$A18)</f>
        <v>2660</v>
      </c>
      <c r="D18" s="1">
        <f>SUMIFS(Datos!$F$2:$F$53,Datos!$A$2:$A$53,2022,Datos!$B$2:$B$53,$A18)</f>
        <v>18673.0344896918</v>
      </c>
      <c r="E18" s="1">
        <f>SUMIFS(Datos!$F$2:$F$53,Datos!$A$2:$A$53,2023,Datos!$B$2:$B$53,$A18)</f>
        <v>38634.549621011101</v>
      </c>
      <c r="F18" s="1">
        <f>+D18/B18</f>
        <v>14.243352013494889</v>
      </c>
      <c r="G18" s="1">
        <f>+E18/C18</f>
        <v>14.524266774816203</v>
      </c>
      <c r="H18" s="4">
        <f>+B18/$B$28</f>
        <v>4.1296541296541298E-2</v>
      </c>
      <c r="I18" s="4">
        <f>+C18/$C$28</f>
        <v>4.1649051936054615E-2</v>
      </c>
      <c r="J18" s="5">
        <f>$C$28*(I18-H18)*F18</f>
        <v>320.67193602788149</v>
      </c>
      <c r="K18" s="5">
        <f>C18*(G18-F18)</f>
        <v>747.23326511469668</v>
      </c>
      <c r="L18" s="5">
        <f>+E18-D18</f>
        <v>19961.515131319302</v>
      </c>
      <c r="M18" s="4">
        <f>+L18/$L$28</f>
        <v>1.9658999215836123E-2</v>
      </c>
    </row>
    <row r="19" spans="1:13">
      <c r="A19" t="s">
        <v>19</v>
      </c>
      <c r="B19" s="2">
        <f>SUMIFS(Datos!$C$2:$C$53,Datos!$A$2:$A$53,2022,Datos!$B$2:$B$53,$A19)</f>
        <v>570</v>
      </c>
      <c r="C19" s="2">
        <f>SUMIFS(Datos!$C$2:$C$53,Datos!$A$2:$A$53,2023,Datos!$B$2:$B$53,$A19)</f>
        <v>1186</v>
      </c>
      <c r="D19" s="1">
        <f>SUMIFS(Datos!$F$2:$F$53,Datos!$A$2:$A$53,2022,Datos!$B$2:$B$53,$A19)</f>
        <v>13927.3676262224</v>
      </c>
      <c r="E19" s="1">
        <f>SUMIFS(Datos!$F$2:$F$53,Datos!$A$2:$A$53,2023,Datos!$B$2:$B$53,$A19)</f>
        <v>31919.365047699699</v>
      </c>
      <c r="F19" s="1">
        <f>+D19/B19</f>
        <v>24.433978291618246</v>
      </c>
      <c r="G19" s="1">
        <f>+E19/C19</f>
        <v>26.913461254384231</v>
      </c>
      <c r="H19" s="4">
        <f>+B19/$B$28</f>
        <v>1.7955017955017954E-2</v>
      </c>
      <c r="I19" s="4">
        <f>+C19/$C$28</f>
        <v>1.8569840449684502E-2</v>
      </c>
      <c r="J19" s="5">
        <f>$C$28*(I19-H19)*F19</f>
        <v>959.44580681249693</v>
      </c>
      <c r="K19" s="5">
        <f>C19*(G19-F19)</f>
        <v>2940.6667938404585</v>
      </c>
      <c r="L19" s="5">
        <f>+E19-D19</f>
        <v>17991.997421477299</v>
      </c>
      <c r="M19" s="4">
        <f>+L19/$L$28</f>
        <v>1.7719329463382803E-2</v>
      </c>
    </row>
    <row r="20" spans="1:13">
      <c r="A20" t="s">
        <v>20</v>
      </c>
      <c r="B20" s="2">
        <f>SUMIFS(Datos!$C$2:$C$53,Datos!$A$2:$A$53,2022,Datos!$B$2:$B$53,$A20)</f>
        <v>744</v>
      </c>
      <c r="C20" s="2">
        <f>SUMIFS(Datos!$C$2:$C$53,Datos!$A$2:$A$53,2023,Datos!$B$2:$B$53,$A20)</f>
        <v>1541</v>
      </c>
      <c r="D20" s="1">
        <f>SUMIFS(Datos!$F$2:$F$53,Datos!$A$2:$A$53,2022,Datos!$B$2:$B$53,$A20)</f>
        <v>15292.290633160699</v>
      </c>
      <c r="E20" s="1">
        <f>SUMIFS(Datos!$F$2:$F$53,Datos!$A$2:$A$53,2023,Datos!$B$2:$B$53,$A20)</f>
        <v>28680.330382584401</v>
      </c>
      <c r="F20" s="1">
        <f>+D20/B20</f>
        <v>20.554154076828898</v>
      </c>
      <c r="G20" s="1">
        <f>+E20/C20</f>
        <v>18.611505764168982</v>
      </c>
      <c r="H20" s="4">
        <f>+B20/$B$28</f>
        <v>2.3436023436023436E-2</v>
      </c>
      <c r="I20" s="4">
        <f>+C20/$C$28</f>
        <v>2.4128266553932392E-2</v>
      </c>
      <c r="J20" s="5">
        <f>$C$28*(I20-H20)*F20</f>
        <v>908.72980232735813</v>
      </c>
      <c r="K20" s="5">
        <f>C20*(G20-F20)</f>
        <v>-2993.6210498089304</v>
      </c>
      <c r="L20" s="5">
        <f>+E20-D20</f>
        <v>13388.039749423702</v>
      </c>
      <c r="M20" s="4">
        <f>+L20/$L$28</f>
        <v>1.318514457464974E-2</v>
      </c>
    </row>
    <row r="21" spans="1:13">
      <c r="A21" t="s">
        <v>22</v>
      </c>
      <c r="B21" s="2">
        <f>SUMIFS(Datos!$C$2:$C$53,Datos!$A$2:$A$53,2022,Datos!$B$2:$B$53,$A21)</f>
        <v>382</v>
      </c>
      <c r="C21" s="2">
        <f>SUMIFS(Datos!$C$2:$C$53,Datos!$A$2:$A$53,2023,Datos!$B$2:$B$53,$A21)</f>
        <v>758</v>
      </c>
      <c r="D21" s="1">
        <f>SUMIFS(Datos!$F$2:$F$53,Datos!$A$2:$A$53,2022,Datos!$B$2:$B$53,$A21)</f>
        <v>11703.942276838199</v>
      </c>
      <c r="E21" s="1">
        <f>SUMIFS(Datos!$F$2:$F$53,Datos!$A$2:$A$53,2023,Datos!$B$2:$B$53,$A21)</f>
        <v>24970.112707371201</v>
      </c>
      <c r="F21" s="1">
        <f>+D21/B21</f>
        <v>30.638592347743977</v>
      </c>
      <c r="G21" s="1">
        <f>+E21/C21</f>
        <v>32.942101197059635</v>
      </c>
      <c r="H21" s="4">
        <f>+B21/$B$28</f>
        <v>1.2033012033012033E-2</v>
      </c>
      <c r="I21" s="4">
        <f>+C21/$C$28</f>
        <v>1.1868414047943383E-2</v>
      </c>
      <c r="J21" s="5">
        <f>$C$28*(I21-H21)*F21</f>
        <v>-322.08451048457135</v>
      </c>
      <c r="K21" s="5">
        <f>C21*(G21-F21)</f>
        <v>1746.0597077812693</v>
      </c>
      <c r="L21" s="5">
        <f>+E21-D21</f>
        <v>13266.170430533002</v>
      </c>
      <c r="M21" s="4">
        <f>+L21/$L$28</f>
        <v>1.3065122180119791E-2</v>
      </c>
    </row>
    <row r="22" spans="1:13">
      <c r="A22" t="s">
        <v>24</v>
      </c>
      <c r="B22" s="2">
        <f>SUMIFS(Datos!$C$2:$C$53,Datos!$A$2:$A$53,2022,Datos!$B$2:$B$53,$A22)</f>
        <v>1132</v>
      </c>
      <c r="C22" s="2">
        <f>SUMIFS(Datos!$C$2:$C$53,Datos!$A$2:$A$53,2023,Datos!$B$2:$B$53,$A22)</f>
        <v>2235</v>
      </c>
      <c r="D22" s="1">
        <f>SUMIFS(Datos!$F$2:$F$53,Datos!$A$2:$A$53,2022,Datos!$B$2:$B$53,$A22)</f>
        <v>8765.5443660443507</v>
      </c>
      <c r="E22" s="1">
        <f>SUMIFS(Datos!$F$2:$F$53,Datos!$A$2:$A$53,2023,Datos!$B$2:$B$53,$A22)</f>
        <v>17497.773106275599</v>
      </c>
      <c r="F22" s="1">
        <f>+D22/B22</f>
        <v>7.7434137509225716</v>
      </c>
      <c r="G22" s="1">
        <f>+E22/C22</f>
        <v>7.8289812556042948</v>
      </c>
      <c r="H22" s="4">
        <f>+B22/$B$28</f>
        <v>3.5658035658035658E-2</v>
      </c>
      <c r="I22" s="4">
        <f>+C22/$C$28</f>
        <v>3.4994598149278973E-2</v>
      </c>
      <c r="J22" s="5">
        <f>$C$28*(I22-H22)*F22</f>
        <v>-328.10209514374873</v>
      </c>
      <c r="K22" s="5">
        <f>C22*(G22-F22)</f>
        <v>191.24337296365147</v>
      </c>
      <c r="L22" s="5">
        <f>+E22-D22</f>
        <v>8732.2287402312486</v>
      </c>
      <c r="M22" s="4">
        <f>+L22/$L$28</f>
        <v>8.5998921839036731E-3</v>
      </c>
    </row>
    <row r="23" spans="1:13">
      <c r="A23" t="s">
        <v>26</v>
      </c>
      <c r="B23" s="2">
        <f>SUMIFS(Datos!$C$2:$C$53,Datos!$A$2:$A$53,2022,Datos!$B$2:$B$53,$A23)</f>
        <v>190</v>
      </c>
      <c r="C23" s="2">
        <f>SUMIFS(Datos!$C$2:$C$53,Datos!$A$2:$A$53,2023,Datos!$B$2:$B$53,$A23)</f>
        <v>351</v>
      </c>
      <c r="D23" s="1">
        <f>SUMIFS(Datos!$F$2:$F$53,Datos!$A$2:$A$53,2022,Datos!$B$2:$B$53,$A23)</f>
        <v>8484.7272336493206</v>
      </c>
      <c r="E23" s="1">
        <f>SUMIFS(Datos!$F$2:$F$53,Datos!$A$2:$A$53,2023,Datos!$B$2:$B$53,$A23)</f>
        <v>15663.864927406201</v>
      </c>
      <c r="F23" s="1">
        <f>+D23/B23</f>
        <v>44.656459124470111</v>
      </c>
      <c r="G23" s="1">
        <f>+E23/C23</f>
        <v>44.62639580457607</v>
      </c>
      <c r="H23" s="4">
        <f>+B23/$B$28</f>
        <v>5.9850059850059846E-3</v>
      </c>
      <c r="I23" s="4">
        <f>+C23/$C$28</f>
        <v>5.4957959509605902E-3</v>
      </c>
      <c r="J23" s="5">
        <f>$C$28*(I23-H23)*F23</f>
        <v>-1395.2632552830548</v>
      </c>
      <c r="K23" s="5">
        <f>C23*(G23-F23)</f>
        <v>-10.552225282808152</v>
      </c>
      <c r="L23" s="5">
        <f>+E23-D23</f>
        <v>7179.1376937568803</v>
      </c>
      <c r="M23" s="4">
        <f>+L23/$L$28</f>
        <v>7.0703381663903856E-3</v>
      </c>
    </row>
    <row r="24" spans="1:13">
      <c r="A24" t="s">
        <v>25</v>
      </c>
      <c r="B24" s="2">
        <f>SUMIFS(Datos!$C$2:$C$53,Datos!$A$2:$A$53,2022,Datos!$B$2:$B$53,$A24)</f>
        <v>682</v>
      </c>
      <c r="C24" s="2">
        <f>SUMIFS(Datos!$C$2:$C$53,Datos!$A$2:$A$53,2023,Datos!$B$2:$B$53,$A24)</f>
        <v>1318</v>
      </c>
      <c r="D24" s="1">
        <f>SUMIFS(Datos!$F$2:$F$53,Datos!$A$2:$A$53,2022,Datos!$B$2:$B$53,$A24)</f>
        <v>6502.9078551886596</v>
      </c>
      <c r="E24" s="1">
        <f>SUMIFS(Datos!$F$2:$F$53,Datos!$A$2:$A$53,2023,Datos!$B$2:$B$53,$A24)</f>
        <v>13010.574533741699</v>
      </c>
      <c r="F24" s="1">
        <f>+D24/B24</f>
        <v>9.5350555061417293</v>
      </c>
      <c r="G24" s="1">
        <f>+E24/C24</f>
        <v>9.8714526052668425</v>
      </c>
      <c r="H24" s="4">
        <f>+B24/$B$28</f>
        <v>2.1483021483021482E-2</v>
      </c>
      <c r="I24" s="4">
        <f>+C24/$C$28</f>
        <v>2.0636635508165406E-2</v>
      </c>
      <c r="J24" s="5">
        <f>$C$28*(I24-H24)*F24</f>
        <v>-515.42822913761086</v>
      </c>
      <c r="K24" s="5">
        <f>C24*(G24-F24)</f>
        <v>443.37137664689931</v>
      </c>
      <c r="L24" s="5">
        <f>+E24-D24</f>
        <v>6507.6666785530397</v>
      </c>
      <c r="M24" s="4">
        <f>+L24/$L$28</f>
        <v>6.4090432659528089E-3</v>
      </c>
    </row>
    <row r="25" spans="1:13">
      <c r="A25" t="s">
        <v>15</v>
      </c>
      <c r="B25" s="2">
        <f>SUMIFS(Datos!$C$2:$C$53,Datos!$A$2:$A$53,2022,Datos!$B$2:$B$53,$A25)</f>
        <v>576</v>
      </c>
      <c r="C25" s="2">
        <f>SUMIFS(Datos!$C$2:$C$53,Datos!$A$2:$A$53,2023,Datos!$B$2:$B$53,$A25)</f>
        <v>1150</v>
      </c>
      <c r="D25" s="1">
        <f>SUMIFS(Datos!$F$2:$F$53,Datos!$A$2:$A$53,2022,Datos!$B$2:$B$53,$A25)</f>
        <v>6290.5024677677902</v>
      </c>
      <c r="E25" s="1">
        <f>SUMIFS(Datos!$F$2:$F$53,Datos!$A$2:$A$53,2023,Datos!$B$2:$B$53,$A25)</f>
        <v>12625.003285852699</v>
      </c>
      <c r="F25" s="1">
        <f>+D25/B25</f>
        <v>10.921011228763525</v>
      </c>
      <c r="G25" s="1">
        <f>+E25/C25</f>
        <v>10.978263726828434</v>
      </c>
      <c r="H25" s="4">
        <f>+B25/$B$28</f>
        <v>1.8144018144018143E-2</v>
      </c>
      <c r="I25" s="4">
        <f>+C25/$C$28</f>
        <v>1.8006169070098801E-2</v>
      </c>
      <c r="J25" s="5">
        <f>$C$28*(I25-H25)*F25</f>
        <v>-96.148657164666574</v>
      </c>
      <c r="K25" s="5">
        <f>C25*(G25-F25)</f>
        <v>65.840372774644777</v>
      </c>
      <c r="L25" s="5">
        <f>+E25-D25</f>
        <v>6334.500818084909</v>
      </c>
      <c r="M25" s="4">
        <f>+L25/$L$28</f>
        <v>6.238501726758155E-3</v>
      </c>
    </row>
    <row r="26" spans="1:13">
      <c r="A26" t="s">
        <v>14</v>
      </c>
      <c r="B26" s="2">
        <f>SUMIFS(Datos!$C$2:$C$53,Datos!$A$2:$A$53,2022,Datos!$B$2:$B$53,$A26)</f>
        <v>154</v>
      </c>
      <c r="C26" s="2">
        <f>SUMIFS(Datos!$C$2:$C$53,Datos!$A$2:$A$53,2023,Datos!$B$2:$B$53,$A26)</f>
        <v>337</v>
      </c>
      <c r="D26" s="1">
        <f>SUMIFS(Datos!$F$2:$F$53,Datos!$A$2:$A$53,2022,Datos!$B$2:$B$53,$A26)</f>
        <v>3279.3796408486801</v>
      </c>
      <c r="E26" s="1">
        <f>SUMIFS(Datos!$F$2:$F$53,Datos!$A$2:$A$53,2023,Datos!$B$2:$B$53,$A26)</f>
        <v>6330.9377879980002</v>
      </c>
      <c r="F26" s="1">
        <f>+D26/B26</f>
        <v>21.294672992523896</v>
      </c>
      <c r="G26" s="1">
        <f>+E26/C26</f>
        <v>18.786165543020772</v>
      </c>
      <c r="H26" s="4">
        <f>+B26/$B$28</f>
        <v>4.8510048510048507E-3</v>
      </c>
      <c r="I26" s="4">
        <f>+C26/$C$28</f>
        <v>5.2765904144550391E-3</v>
      </c>
      <c r="J26" s="5">
        <f>$C$28*(I26-H26)*F26</f>
        <v>578.80780603795733</v>
      </c>
      <c r="K26" s="5">
        <f>C26*(G26-F26)</f>
        <v>-845.36701048255293</v>
      </c>
      <c r="L26" s="5">
        <f>+E26-D26</f>
        <v>3051.5581471493201</v>
      </c>
      <c r="M26" s="4">
        <f>+L26/$L$28</f>
        <v>3.0053119128097918E-3</v>
      </c>
    </row>
    <row r="27" spans="1:13">
      <c r="A27" t="s">
        <v>9</v>
      </c>
      <c r="B27" s="2">
        <f>SUMIFS(Datos!$C$2:$C$53,Datos!$A$2:$A$53,2022,Datos!$B$2:$B$53,$A27)</f>
        <v>44</v>
      </c>
      <c r="C27" s="2">
        <f>SUMIFS(Datos!$C$2:$C$53,Datos!$A$2:$A$53,2023,Datos!$B$2:$B$53,$A27)</f>
        <v>63</v>
      </c>
      <c r="D27" s="1">
        <f>SUMIFS(Datos!$F$2:$F$53,Datos!$A$2:$A$53,2022,Datos!$B$2:$B$53,$A27)</f>
        <v>1260.70611730263</v>
      </c>
      <c r="E27" s="1">
        <f>SUMIFS(Datos!$F$2:$F$53,Datos!$A$2:$A$53,2023,Datos!$B$2:$B$53,$A27)</f>
        <v>2111.81601818937</v>
      </c>
      <c r="F27" s="1">
        <f>+D27/B27</f>
        <v>28.652411756877953</v>
      </c>
      <c r="G27" s="1">
        <f>+E27/C27</f>
        <v>33.52088917760905</v>
      </c>
      <c r="H27" s="4">
        <f>+B27/$B$28</f>
        <v>1.386001386001386E-3</v>
      </c>
      <c r="I27" s="4">
        <f>+C27/$C$28</f>
        <v>9.8642491427497763E-4</v>
      </c>
      <c r="J27" s="5">
        <f>$C$28*(I27-H27)*F27</f>
        <v>-731.20239982469218</v>
      </c>
      <c r="K27" s="5">
        <f>C27*(G27-F27)</f>
        <v>306.71407750605908</v>
      </c>
      <c r="L27" s="5">
        <f>+E27-D27</f>
        <v>851.10990088673998</v>
      </c>
      <c r="M27" s="4">
        <f>+L27/$L$28</f>
        <v>8.3821136642431445E-4</v>
      </c>
    </row>
    <row r="28" spans="1:13">
      <c r="A28" t="s">
        <v>32</v>
      </c>
      <c r="B28" s="2">
        <f>SUM(B2:B27)</f>
        <v>31746</v>
      </c>
      <c r="C28" s="2">
        <f>SUM(C2:C27)</f>
        <v>63867</v>
      </c>
      <c r="D28" s="1">
        <f>SUM(D2:D27)</f>
        <v>968260.4090904732</v>
      </c>
      <c r="E28" s="1">
        <f>SUM(E2:E27)</f>
        <v>1983648.5736741256</v>
      </c>
      <c r="F28" s="1">
        <f>+D28/B28</f>
        <v>30.500233386583293</v>
      </c>
      <c r="G28" s="1">
        <f>+E28/C28</f>
        <v>31.059053559336206</v>
      </c>
      <c r="H28" s="3">
        <f>SUM(H2:H27)</f>
        <v>0.99999999999999989</v>
      </c>
      <c r="I28" s="3">
        <f>SUM(I2:I27)</f>
        <v>1</v>
      </c>
      <c r="J28" s="1">
        <f>SUM(J2:J27)</f>
        <v>12378.629451605582</v>
      </c>
      <c r="K28" s="1">
        <f>SUM(K2:K27)</f>
        <v>23311.538521606079</v>
      </c>
      <c r="L28" s="5">
        <f>+E28-D28</f>
        <v>1015388.1645836524</v>
      </c>
      <c r="M28" s="3">
        <f>SUM(M2:M27)</f>
        <v>1.0000000000000007</v>
      </c>
    </row>
    <row r="31" spans="1:13">
      <c r="A31" t="s">
        <v>43</v>
      </c>
      <c r="B31" s="5">
        <f>+D28</f>
        <v>968260.4090904732</v>
      </c>
    </row>
    <row r="32" spans="1:13">
      <c r="A32" t="s">
        <v>44</v>
      </c>
      <c r="B32" s="5">
        <f>(C28-B28)*F28</f>
        <v>979697.99661044194</v>
      </c>
    </row>
    <row r="33" spans="1:5">
      <c r="A33" t="s">
        <v>45</v>
      </c>
      <c r="B33" s="5">
        <f>+J28</f>
        <v>12378.629451605582</v>
      </c>
    </row>
    <row r="34" spans="1:5">
      <c r="A34" t="s">
        <v>46</v>
      </c>
      <c r="B34" s="5">
        <f>+K28</f>
        <v>23311.538521606079</v>
      </c>
    </row>
    <row r="35" spans="1:5">
      <c r="A35" t="s">
        <v>47</v>
      </c>
      <c r="B35" s="5">
        <f>+B31+B32+B33+B34</f>
        <v>1983648.5736741265</v>
      </c>
    </row>
    <row r="36" spans="1:5">
      <c r="A36" t="s">
        <v>48</v>
      </c>
      <c r="B36" s="5">
        <f>+B35-E28</f>
        <v>0</v>
      </c>
    </row>
    <row r="40" spans="1:5">
      <c r="E40" s="5"/>
    </row>
    <row r="41" spans="1:5">
      <c r="E41" s="5"/>
    </row>
    <row r="42" spans="1:5">
      <c r="E42" s="5"/>
    </row>
    <row r="43" spans="1:5">
      <c r="E43" s="5"/>
    </row>
    <row r="44" spans="1:5">
      <c r="E44" s="5"/>
    </row>
  </sheetData>
  <sortState xmlns:xlrd2="http://schemas.microsoft.com/office/spreadsheetml/2017/richdata2" ref="A2:M27">
    <sortCondition descending="1" ref="L2:L27"/>
  </sortState>
  <pageMargins left="0.7" right="0.7" top="0.75" bottom="0.75" header="0.3" footer="0.3"/>
  <ignoredErrors>
    <ignoredError sqref="L28"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D89E-91FD-4C4E-8EDB-ACC48D78B08C}">
  <dimension ref="A1:I17"/>
  <sheetViews>
    <sheetView workbookViewId="0">
      <selection activeCell="A15" sqref="A15"/>
    </sheetView>
  </sheetViews>
  <sheetFormatPr baseColWidth="10" defaultRowHeight="15"/>
  <cols>
    <col min="1" max="1" width="37.28515625" bestFit="1" customWidth="1"/>
    <col min="2" max="2" width="17" bestFit="1" customWidth="1"/>
    <col min="3" max="3" width="14.85546875" bestFit="1" customWidth="1"/>
    <col min="4" max="4" width="18.85546875" customWidth="1"/>
    <col min="6" max="6" width="11.85546875" customWidth="1"/>
    <col min="7" max="7" width="16.85546875" bestFit="1" customWidth="1"/>
  </cols>
  <sheetData>
    <row r="1" spans="1:9">
      <c r="A1" s="7" t="s">
        <v>52</v>
      </c>
      <c r="B1" s="7" t="s">
        <v>53</v>
      </c>
      <c r="C1" s="7" t="s">
        <v>54</v>
      </c>
      <c r="D1" s="7"/>
    </row>
    <row r="2" spans="1:9">
      <c r="A2" t="s">
        <v>69</v>
      </c>
      <c r="B2" s="5">
        <f>+puente!G28</f>
        <v>31.059053559336206</v>
      </c>
      <c r="C2" t="s">
        <v>57</v>
      </c>
    </row>
    <row r="3" spans="1:9">
      <c r="A3" t="s">
        <v>70</v>
      </c>
      <c r="B3">
        <v>1.8</v>
      </c>
      <c r="C3" s="6" t="s">
        <v>61</v>
      </c>
    </row>
    <row r="4" spans="1:9">
      <c r="A4" t="s">
        <v>56</v>
      </c>
      <c r="B4" s="9">
        <f>+B2*B3</f>
        <v>55.906296406805176</v>
      </c>
      <c r="C4" t="s">
        <v>71</v>
      </c>
    </row>
    <row r="5" spans="1:9">
      <c r="A5" t="s">
        <v>72</v>
      </c>
      <c r="B5" s="2">
        <f>+puente!C28/Adquisicion!B3</f>
        <v>35481.666666666664</v>
      </c>
      <c r="C5" t="s">
        <v>71</v>
      </c>
    </row>
    <row r="7" spans="1:9">
      <c r="A7" t="s">
        <v>58</v>
      </c>
      <c r="B7" t="s">
        <v>73</v>
      </c>
      <c r="C7" t="s">
        <v>74</v>
      </c>
      <c r="D7" t="s">
        <v>75</v>
      </c>
      <c r="E7" t="s">
        <v>59</v>
      </c>
      <c r="F7" t="s">
        <v>54</v>
      </c>
      <c r="G7" t="s">
        <v>55</v>
      </c>
      <c r="H7" t="s">
        <v>67</v>
      </c>
      <c r="I7" t="s">
        <v>68</v>
      </c>
    </row>
    <row r="8" spans="1:9">
      <c r="A8" s="6" t="s">
        <v>60</v>
      </c>
      <c r="B8" s="10">
        <v>0.35</v>
      </c>
      <c r="C8" s="2">
        <f>+$B$5*B8</f>
        <v>12418.583333333332</v>
      </c>
      <c r="D8" s="18">
        <v>370000</v>
      </c>
      <c r="E8" s="11">
        <f>+D8/C8</f>
        <v>29.794058635244227</v>
      </c>
      <c r="F8" s="6" t="s">
        <v>61</v>
      </c>
      <c r="G8" s="6" t="s">
        <v>63</v>
      </c>
      <c r="H8" s="9">
        <f>+$B$4/E8</f>
        <v>1.876424326448497</v>
      </c>
      <c r="I8" s="9">
        <f>+$B$4-E8</f>
        <v>26.112237771560949</v>
      </c>
    </row>
    <row r="9" spans="1:9">
      <c r="A9" s="6" t="s">
        <v>62</v>
      </c>
      <c r="B9" s="10">
        <v>0.3</v>
      </c>
      <c r="C9" s="2">
        <f t="shared" ref="C9:C12" si="0">+$B$5*B9</f>
        <v>10644.499999999998</v>
      </c>
      <c r="D9" s="18">
        <v>55000</v>
      </c>
      <c r="E9" s="11">
        <f>+D9/C9</f>
        <v>5.1669876462022648</v>
      </c>
      <c r="F9" s="6" t="s">
        <v>61</v>
      </c>
      <c r="G9" s="6" t="s">
        <v>63</v>
      </c>
      <c r="H9" s="9">
        <f t="shared" ref="H9:H12" si="1">+$B$4/E9</f>
        <v>10.819901310949774</v>
      </c>
      <c r="I9" s="9">
        <f t="shared" ref="I9:I12" si="2">+$B$4-E9</f>
        <v>50.73930876060291</v>
      </c>
    </row>
    <row r="10" spans="1:9">
      <c r="A10" s="6" t="s">
        <v>64</v>
      </c>
      <c r="B10" s="10">
        <v>0.15</v>
      </c>
      <c r="C10" s="2">
        <f t="shared" si="0"/>
        <v>5322.2499999999991</v>
      </c>
      <c r="D10" s="18">
        <v>185000</v>
      </c>
      <c r="E10" s="11">
        <f t="shared" ref="E10:E12" si="3">+D10/C10</f>
        <v>34.759735074451598</v>
      </c>
      <c r="F10" s="6" t="s">
        <v>61</v>
      </c>
      <c r="G10" s="6" t="s">
        <v>63</v>
      </c>
      <c r="H10" s="9">
        <f t="shared" si="1"/>
        <v>1.608363708384426</v>
      </c>
      <c r="I10" s="9">
        <f t="shared" si="2"/>
        <v>21.146561332353578</v>
      </c>
    </row>
    <row r="11" spans="1:9">
      <c r="A11" s="6" t="s">
        <v>65</v>
      </c>
      <c r="B11" s="10">
        <v>0.1</v>
      </c>
      <c r="C11" s="2">
        <f t="shared" si="0"/>
        <v>3548.1666666666665</v>
      </c>
      <c r="D11" s="18">
        <v>35000</v>
      </c>
      <c r="E11" s="11">
        <f t="shared" si="3"/>
        <v>9.8642491427497774</v>
      </c>
      <c r="F11" s="6" t="s">
        <v>61</v>
      </c>
      <c r="G11" s="6" t="s">
        <v>63</v>
      </c>
      <c r="H11" s="9">
        <f t="shared" si="1"/>
        <v>5.6675673533546442</v>
      </c>
      <c r="I11" s="9">
        <f t="shared" si="2"/>
        <v>46.042047264055398</v>
      </c>
    </row>
    <row r="12" spans="1:9">
      <c r="A12" s="6" t="s">
        <v>66</v>
      </c>
      <c r="B12" s="10">
        <v>0.1</v>
      </c>
      <c r="C12" s="2">
        <f t="shared" si="0"/>
        <v>3548.1666666666665</v>
      </c>
      <c r="D12" s="18">
        <v>90000</v>
      </c>
      <c r="E12" s="11">
        <f t="shared" si="3"/>
        <v>25.365212081356571</v>
      </c>
      <c r="F12" s="6" t="s">
        <v>61</v>
      </c>
      <c r="G12" s="6" t="s">
        <v>63</v>
      </c>
      <c r="H12" s="9">
        <f t="shared" si="1"/>
        <v>2.2040539707490283</v>
      </c>
      <c r="I12" s="9">
        <f t="shared" si="2"/>
        <v>30.541084325448605</v>
      </c>
    </row>
    <row r="13" spans="1:9">
      <c r="A13" s="6" t="s">
        <v>32</v>
      </c>
      <c r="B13" s="10">
        <f>SUM(B8:B12)</f>
        <v>0.99999999999999989</v>
      </c>
      <c r="C13" s="2">
        <f>SUM(C8:C12)</f>
        <v>35481.666666666664</v>
      </c>
    </row>
    <row r="17" spans="4:4">
      <c r="D1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ACC6-6BCE-4420-A4FE-1A235BF9FB25}">
  <dimension ref="A1:L19"/>
  <sheetViews>
    <sheetView workbookViewId="0">
      <selection activeCell="D15" sqref="D15"/>
    </sheetView>
  </sheetViews>
  <sheetFormatPr baseColWidth="10" defaultRowHeight="15"/>
  <cols>
    <col min="1" max="1" width="34.85546875" customWidth="1"/>
    <col min="3" max="3" width="18.42578125" customWidth="1"/>
    <col min="6" max="6" width="18" customWidth="1"/>
    <col min="7" max="7" width="14.85546875" customWidth="1"/>
    <col min="8" max="8" width="10" customWidth="1"/>
    <col min="9" max="9" width="18" customWidth="1"/>
    <col min="10" max="12" width="17.28515625" customWidth="1"/>
  </cols>
  <sheetData>
    <row r="1" spans="1:12">
      <c r="A1" s="7" t="s">
        <v>52</v>
      </c>
      <c r="B1" s="7" t="s">
        <v>76</v>
      </c>
      <c r="C1" s="7" t="s">
        <v>77</v>
      </c>
      <c r="D1" s="7" t="s">
        <v>78</v>
      </c>
    </row>
    <row r="2" spans="1:12">
      <c r="A2" t="s">
        <v>79</v>
      </c>
      <c r="B2">
        <v>1.4</v>
      </c>
      <c r="C2" s="8">
        <f>Adquisicion!B3</f>
        <v>1.8</v>
      </c>
      <c r="D2">
        <v>2.2000000000000002</v>
      </c>
    </row>
    <row r="3" spans="1:12">
      <c r="A3" t="s">
        <v>80</v>
      </c>
      <c r="B3">
        <v>1.3</v>
      </c>
      <c r="C3" s="8">
        <v>1</v>
      </c>
      <c r="D3">
        <v>0.8</v>
      </c>
    </row>
    <row r="4" spans="1:12">
      <c r="A4" t="s">
        <v>81</v>
      </c>
      <c r="B4" s="9">
        <f>Adquisicion!$B$2*Escenarios!B2</f>
        <v>43.482674983070687</v>
      </c>
      <c r="C4" s="9">
        <f>Adquisicion!$B$2*Escenarios!C2</f>
        <v>55.906296406805176</v>
      </c>
      <c r="D4" s="9">
        <f>Adquisicion!$B$2*Escenarios!D2</f>
        <v>68.329917830539657</v>
      </c>
    </row>
    <row r="5" spans="1:12">
      <c r="A5" t="s">
        <v>82</v>
      </c>
      <c r="B5">
        <v>3</v>
      </c>
      <c r="C5">
        <v>3</v>
      </c>
      <c r="D5">
        <v>3</v>
      </c>
    </row>
    <row r="7" spans="1:12">
      <c r="A7" s="12" t="s">
        <v>84</v>
      </c>
    </row>
    <row r="8" spans="1:12" ht="30">
      <c r="A8" s="7" t="s">
        <v>58</v>
      </c>
      <c r="B8" s="7" t="s">
        <v>83</v>
      </c>
      <c r="C8" s="7" t="s">
        <v>76</v>
      </c>
      <c r="D8" s="7" t="s">
        <v>77</v>
      </c>
      <c r="E8" s="7" t="s">
        <v>78</v>
      </c>
      <c r="F8" s="7" t="s">
        <v>86</v>
      </c>
      <c r="G8" s="7" t="s">
        <v>85</v>
      </c>
      <c r="H8" s="7" t="s">
        <v>87</v>
      </c>
      <c r="I8" s="7" t="s">
        <v>88</v>
      </c>
      <c r="J8" s="7" t="s">
        <v>103</v>
      </c>
      <c r="K8" s="7" t="s">
        <v>104</v>
      </c>
      <c r="L8" s="7" t="s">
        <v>105</v>
      </c>
    </row>
    <row r="9" spans="1:12">
      <c r="A9" t="str">
        <f>Adquisicion!A8</f>
        <v>Search</v>
      </c>
      <c r="B9" s="9">
        <f>Adquisicion!E8</f>
        <v>29.794058635244227</v>
      </c>
      <c r="C9" s="9">
        <f>B$4/($B9*B$3)</f>
        <v>1.1226470329179041</v>
      </c>
      <c r="D9" s="9">
        <f t="shared" ref="D9:E9" si="0">C$4/($B9*C$3)</f>
        <v>1.876424326448497</v>
      </c>
      <c r="E9" s="9">
        <f t="shared" si="0"/>
        <v>2.866759387629648</v>
      </c>
      <c r="F9">
        <f>COUNTIF(C9:E9,"&gt;="&amp;$B$5)</f>
        <v>0</v>
      </c>
      <c r="G9" t="str">
        <f>IF(F9=3,"Escalar",IF(F9=0,"Recortar","Probar con tope"))</f>
        <v>Recortar</v>
      </c>
      <c r="H9" s="2">
        <f>+Adquisicion!D8</f>
        <v>370000</v>
      </c>
      <c r="I9" s="4">
        <f>H9/SUM(H$9:H$13)</f>
        <v>0.50340136054421769</v>
      </c>
      <c r="J9" s="1">
        <f>+$C$4/$B$5</f>
        <v>18.635432135601725</v>
      </c>
      <c r="K9" s="4">
        <f>MAX(0,1-J9/B9)</f>
        <v>0.37452522451716763</v>
      </c>
      <c r="L9" s="9">
        <f>+$B$5*B9/Adquisicion!$B$2</f>
        <v>2.8778138952294254</v>
      </c>
    </row>
    <row r="10" spans="1:12">
      <c r="A10" t="str">
        <f>Adquisicion!A9</f>
        <v>Organic</v>
      </c>
      <c r="B10" s="9">
        <f>Adquisicion!E9</f>
        <v>5.1669876462022648</v>
      </c>
      <c r="C10" s="9">
        <f>B$4/($B10*B$3)</f>
        <v>6.4734452287733681</v>
      </c>
      <c r="D10" s="9">
        <f t="shared" ref="D10:E10" si="1">C$4/($B10*C$3)</f>
        <v>10.819901310949774</v>
      </c>
      <c r="E10" s="9">
        <f t="shared" si="1"/>
        <v>16.530404780617712</v>
      </c>
      <c r="F10">
        <f t="shared" ref="F10:F13" si="2">COUNTIF(C10:E10,"&gt;="&amp;$B$5)</f>
        <v>3</v>
      </c>
      <c r="G10" t="str">
        <f t="shared" ref="G10:G13" si="3">IF(F10=3,"Escalar",IF(F10=0,"Recortar","Probar con tope"))</f>
        <v>Escalar</v>
      </c>
      <c r="H10" s="2">
        <f>+Adquisicion!D9</f>
        <v>55000</v>
      </c>
      <c r="I10" s="4">
        <f t="shared" ref="I10:I13" si="4">H10/SUM(H$9:H$13)</f>
        <v>7.4829931972789115E-2</v>
      </c>
      <c r="J10" s="1">
        <f t="shared" ref="J10:J13" si="5">+$C$4/$B$5</f>
        <v>18.635432135601725</v>
      </c>
      <c r="K10" s="4">
        <f>MAX(0,1-J10/B10)</f>
        <v>0</v>
      </c>
      <c r="L10" s="9">
        <f>+$B$5*B10/Adquisicion!$B$2</f>
        <v>0.49908033768618415</v>
      </c>
    </row>
    <row r="11" spans="1:12">
      <c r="A11" t="str">
        <f>Adquisicion!A10</f>
        <v>Facebook</v>
      </c>
      <c r="B11" s="9">
        <f>Adquisicion!E10</f>
        <v>34.759735074451598</v>
      </c>
      <c r="C11" s="9">
        <f t="shared" ref="C11:E13" si="6">B$4/($B11*B$3)</f>
        <v>0.96226888535820343</v>
      </c>
      <c r="D11" s="9">
        <f t="shared" si="6"/>
        <v>1.608363708384426</v>
      </c>
      <c r="E11" s="9">
        <f t="shared" si="6"/>
        <v>2.4572223322539841</v>
      </c>
      <c r="F11">
        <f t="shared" si="2"/>
        <v>0</v>
      </c>
      <c r="G11" t="str">
        <f t="shared" si="3"/>
        <v>Recortar</v>
      </c>
      <c r="H11" s="2">
        <f>+Adquisicion!D10</f>
        <v>185000</v>
      </c>
      <c r="I11" s="4">
        <f t="shared" si="4"/>
        <v>0.25170068027210885</v>
      </c>
      <c r="J11" s="1">
        <f t="shared" si="5"/>
        <v>18.635432135601725</v>
      </c>
      <c r="K11" s="4">
        <f t="shared" ref="K10:K13" si="7">MAX(0,1-J11/B11)</f>
        <v>0.463878763871858</v>
      </c>
      <c r="L11" s="9">
        <f>+$B$5*B11/Adquisicion!$B$2</f>
        <v>3.3574495444343295</v>
      </c>
    </row>
    <row r="12" spans="1:12">
      <c r="A12" t="str">
        <f>Adquisicion!A11</f>
        <v>Email</v>
      </c>
      <c r="B12" s="9">
        <f>Adquisicion!E11</f>
        <v>9.8642491427497774</v>
      </c>
      <c r="C12" s="9">
        <f t="shared" si="6"/>
        <v>3.3908522626908124</v>
      </c>
      <c r="D12" s="9">
        <f t="shared" si="6"/>
        <v>5.6675673533546442</v>
      </c>
      <c r="E12" s="9">
        <f t="shared" si="6"/>
        <v>8.6587834565140387</v>
      </c>
      <c r="F12">
        <f t="shared" si="2"/>
        <v>3</v>
      </c>
      <c r="G12" t="str">
        <f t="shared" si="3"/>
        <v>Escalar</v>
      </c>
      <c r="H12" s="2">
        <f>+Adquisicion!D11</f>
        <v>35000</v>
      </c>
      <c r="I12" s="4">
        <f t="shared" si="4"/>
        <v>4.7619047619047616E-2</v>
      </c>
      <c r="J12" s="1">
        <f t="shared" si="5"/>
        <v>18.635432135601725</v>
      </c>
      <c r="K12" s="4">
        <f t="shared" si="7"/>
        <v>0</v>
      </c>
      <c r="L12" s="9">
        <f>+$B$5*B12/Adquisicion!$B$2</f>
        <v>0.95278973558271518</v>
      </c>
    </row>
    <row r="13" spans="1:12">
      <c r="A13" t="str">
        <f>Adquisicion!A12</f>
        <v>Display</v>
      </c>
      <c r="B13" s="9">
        <f>Adquisicion!E12</f>
        <v>25.365212081356571</v>
      </c>
      <c r="C13" s="9">
        <f t="shared" si="6"/>
        <v>1.3186647688242048</v>
      </c>
      <c r="D13" s="9">
        <f t="shared" si="6"/>
        <v>2.2040539707490283</v>
      </c>
      <c r="E13" s="9">
        <f t="shared" si="6"/>
        <v>3.3673046775332374</v>
      </c>
      <c r="F13">
        <f t="shared" si="2"/>
        <v>1</v>
      </c>
      <c r="G13" t="str">
        <f t="shared" si="3"/>
        <v>Probar con tope</v>
      </c>
      <c r="H13" s="2">
        <f>+Adquisicion!D12</f>
        <v>90000</v>
      </c>
      <c r="I13" s="4">
        <f t="shared" si="4"/>
        <v>0.12244897959183673</v>
      </c>
      <c r="J13" s="1">
        <f t="shared" si="5"/>
        <v>18.635432135601725</v>
      </c>
      <c r="K13" s="4">
        <f t="shared" si="7"/>
        <v>0.26531534308365723</v>
      </c>
      <c r="L13" s="9">
        <f>+$B$5*B13/Adquisicion!$B$2</f>
        <v>2.4500307486412676</v>
      </c>
    </row>
    <row r="15" spans="1:12">
      <c r="A15" s="12" t="s">
        <v>89</v>
      </c>
    </row>
    <row r="16" spans="1:12">
      <c r="A16" s="7" t="s">
        <v>85</v>
      </c>
      <c r="B16" s="7" t="s">
        <v>75</v>
      </c>
      <c r="C16" s="7" t="s">
        <v>88</v>
      </c>
    </row>
    <row r="17" spans="1:3">
      <c r="A17" t="s">
        <v>90</v>
      </c>
      <c r="B17">
        <f>SUMIF($G$9:$G$13,A17,$H$9:$H$13)</f>
        <v>555000</v>
      </c>
      <c r="C17" s="3">
        <f>+B17/SUM(B$17:B$19)</f>
        <v>0.75510204081632648</v>
      </c>
    </row>
    <row r="18" spans="1:3">
      <c r="A18" t="s">
        <v>91</v>
      </c>
      <c r="B18">
        <f t="shared" ref="B18:B19" si="8">SUMIF($G$9:$G$13,A18,$H$9:$H$13)</f>
        <v>90000</v>
      </c>
      <c r="C18" s="3">
        <f t="shared" ref="C18:C19" si="9">+B18/SUM(B$17:B$19)</f>
        <v>0.12244897959183673</v>
      </c>
    </row>
    <row r="19" spans="1:3">
      <c r="A19" t="s">
        <v>92</v>
      </c>
      <c r="B19">
        <f t="shared" si="8"/>
        <v>90000</v>
      </c>
      <c r="C19" s="3">
        <f t="shared" si="9"/>
        <v>0.12244897959183673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EC-D6DE-46F3-8D58-0A137B651848}">
  <dimension ref="A1:E37"/>
  <sheetViews>
    <sheetView tabSelected="1" topLeftCell="A22" workbookViewId="0">
      <selection activeCell="C40" sqref="C40"/>
    </sheetView>
  </sheetViews>
  <sheetFormatPr baseColWidth="10" defaultRowHeight="15"/>
  <cols>
    <col min="1" max="1" width="38.7109375" customWidth="1"/>
    <col min="2" max="2" width="17.85546875" bestFit="1" customWidth="1"/>
    <col min="4" max="4" width="16" customWidth="1"/>
    <col min="5" max="5" width="32.140625" customWidth="1"/>
  </cols>
  <sheetData>
    <row r="1" spans="1:4">
      <c r="A1" t="s">
        <v>93</v>
      </c>
    </row>
    <row r="3" spans="1:4">
      <c r="A3" t="s">
        <v>102</v>
      </c>
    </row>
    <row r="5" spans="1:4">
      <c r="A5" t="s">
        <v>94</v>
      </c>
    </row>
    <row r="6" spans="1:4">
      <c r="A6" s="6" t="s">
        <v>43</v>
      </c>
      <c r="B6" s="5">
        <f>puente!D28</f>
        <v>968260.4090904732</v>
      </c>
      <c r="D6" s="14"/>
    </row>
    <row r="7" spans="1:4">
      <c r="A7" s="6" t="s">
        <v>51</v>
      </c>
      <c r="B7" s="13">
        <f>puente!E28</f>
        <v>1983648.5736741256</v>
      </c>
      <c r="D7" s="14"/>
    </row>
    <row r="8" spans="1:4">
      <c r="A8" s="6" t="s">
        <v>95</v>
      </c>
      <c r="B8" s="16">
        <f>+B7/B6-1</f>
        <v>1.0486726040337104</v>
      </c>
      <c r="D8" s="15"/>
    </row>
    <row r="9" spans="1:4">
      <c r="A9" s="6" t="s">
        <v>96</v>
      </c>
      <c r="B9" s="16">
        <f>puente!B32/(puente!E28-puente!D28)</f>
        <v>0.96485071500922526</v>
      </c>
      <c r="D9" s="15"/>
    </row>
    <row r="10" spans="1:4">
      <c r="A10" s="6" t="s">
        <v>97</v>
      </c>
      <c r="B10" s="17">
        <f>puente!B33/(puente!E28-puente!D28)</f>
        <v>1.2191031847097892E-2</v>
      </c>
      <c r="D10" s="15"/>
    </row>
    <row r="11" spans="1:4">
      <c r="A11" s="6" t="s">
        <v>98</v>
      </c>
      <c r="B11" s="17">
        <f>puente!B34/(puente!E28-puente!D28)</f>
        <v>2.2958253143678005E-2</v>
      </c>
      <c r="D11" s="15"/>
    </row>
    <row r="12" spans="1:4">
      <c r="A12" s="6" t="s">
        <v>99</v>
      </c>
      <c r="B12" s="16" t="str">
        <f>puente!A2</f>
        <v>Outerwear &amp; Coats</v>
      </c>
      <c r="D12" s="15"/>
    </row>
    <row r="13" spans="1:4">
      <c r="A13" s="6" t="s">
        <v>100</v>
      </c>
      <c r="B13" s="17">
        <f>puente!M2</f>
        <v>0.14187131218136639</v>
      </c>
      <c r="D13" s="15"/>
    </row>
    <row r="14" spans="1:4">
      <c r="A14" s="6" t="s">
        <v>101</v>
      </c>
      <c r="B14" s="17">
        <f>SUM(puente!M2:M6)</f>
        <v>0.44871791574476927</v>
      </c>
      <c r="D14" s="15"/>
    </row>
    <row r="17" spans="1:5">
      <c r="A17" s="12" t="s">
        <v>106</v>
      </c>
    </row>
    <row r="18" spans="1:5" ht="18" customHeight="1">
      <c r="A18" s="19" t="s">
        <v>107</v>
      </c>
      <c r="B18" s="20"/>
      <c r="C18" s="20"/>
      <c r="D18" s="20"/>
      <c r="E18" s="21"/>
    </row>
    <row r="19" spans="1:5" ht="18" customHeight="1">
      <c r="A19" s="22"/>
      <c r="B19" s="23"/>
      <c r="C19" s="23"/>
      <c r="D19" s="23"/>
      <c r="E19" s="24"/>
    </row>
    <row r="20" spans="1:5" ht="18" customHeight="1">
      <c r="A20" s="22"/>
      <c r="B20" s="23"/>
      <c r="C20" s="23"/>
      <c r="D20" s="23"/>
      <c r="E20" s="24"/>
    </row>
    <row r="21" spans="1:5" ht="18" customHeight="1">
      <c r="A21" s="22"/>
      <c r="B21" s="23"/>
      <c r="C21" s="23"/>
      <c r="D21" s="23"/>
      <c r="E21" s="24"/>
    </row>
    <row r="22" spans="1:5" ht="18" customHeight="1">
      <c r="A22" s="22"/>
      <c r="B22" s="23"/>
      <c r="C22" s="23"/>
      <c r="D22" s="23"/>
      <c r="E22" s="24"/>
    </row>
    <row r="23" spans="1:5" ht="18" customHeight="1">
      <c r="A23" s="25"/>
      <c r="B23" s="26"/>
      <c r="C23" s="26"/>
      <c r="D23" s="26"/>
      <c r="E23" s="27"/>
    </row>
    <row r="25" spans="1:5">
      <c r="A25" s="12" t="s">
        <v>108</v>
      </c>
    </row>
    <row r="26" spans="1:5" ht="17.25" customHeight="1">
      <c r="A26" s="19" t="s">
        <v>113</v>
      </c>
      <c r="B26" s="28"/>
      <c r="C26" s="28"/>
      <c r="D26" s="28"/>
      <c r="E26" s="29"/>
    </row>
    <row r="27" spans="1:5" ht="17.25" customHeight="1">
      <c r="A27" s="30"/>
      <c r="B27" s="31"/>
      <c r="C27" s="31"/>
      <c r="D27" s="31"/>
      <c r="E27" s="32"/>
    </row>
    <row r="28" spans="1:5" ht="17.25" customHeight="1">
      <c r="A28" s="30"/>
      <c r="B28" s="31"/>
      <c r="C28" s="31"/>
      <c r="D28" s="31"/>
      <c r="E28" s="32"/>
    </row>
    <row r="29" spans="1:5" ht="17.25" customHeight="1">
      <c r="A29" s="30"/>
      <c r="B29" s="31"/>
      <c r="C29" s="31"/>
      <c r="D29" s="31"/>
      <c r="E29" s="32"/>
    </row>
    <row r="30" spans="1:5" ht="17.25" customHeight="1">
      <c r="A30" s="30"/>
      <c r="B30" s="31"/>
      <c r="C30" s="31"/>
      <c r="D30" s="31"/>
      <c r="E30" s="32"/>
    </row>
    <row r="31" spans="1:5" ht="20.25" customHeight="1">
      <c r="A31" s="33"/>
      <c r="B31" s="34"/>
      <c r="C31" s="34"/>
      <c r="D31" s="34"/>
      <c r="E31" s="35"/>
    </row>
    <row r="32" spans="1:5" ht="17.25" customHeight="1"/>
    <row r="34" spans="1:1">
      <c r="A34" s="12" t="s">
        <v>109</v>
      </c>
    </row>
    <row r="35" spans="1:1">
      <c r="A35" t="s">
        <v>110</v>
      </c>
    </row>
    <row r="36" spans="1:1">
      <c r="A36" t="s">
        <v>111</v>
      </c>
    </row>
    <row r="37" spans="1:1">
      <c r="A37" t="s">
        <v>112</v>
      </c>
    </row>
  </sheetData>
  <mergeCells count="2">
    <mergeCell ref="A18:E23"/>
    <mergeCell ref="A26:E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vt:lpstr>
      <vt:lpstr>puente</vt:lpstr>
      <vt:lpstr>Adquisicion</vt:lpstr>
      <vt:lpstr>Escenarios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dc:creator>
  <cp:lastModifiedBy>Seba Calb</cp:lastModifiedBy>
  <dcterms:created xsi:type="dcterms:W3CDTF">2026-10-26T19:07:00Z</dcterms:created>
  <dcterms:modified xsi:type="dcterms:W3CDTF">2026-10-27T20:52:25Z</dcterms:modified>
</cp:coreProperties>
</file>